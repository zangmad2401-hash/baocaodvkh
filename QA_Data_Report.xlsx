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1e38e8ab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31ccc83ba9c54848"/>
    <x:sheet xmlns:r="http://schemas.openxmlformats.org/officeDocument/2006/relationships" name="INPUT_LOAN_IN" sheetId="2" r:id="Ree2f01d208cd41cb"/>
    <x:sheet xmlns:r="http://schemas.openxmlformats.org/officeDocument/2006/relationships" name="INPUT_LOAN_OUT" sheetId="3" r:id="Ra57d295f77db458a"/>
    <x:sheet xmlns:r="http://schemas.openxmlformats.org/officeDocument/2006/relationships" name="INPUT_CARD_IN" sheetId="4" r:id="R4a685ed1c9b14df2"/>
    <x:sheet xmlns:r="http://schemas.openxmlformats.org/officeDocument/2006/relationships" name="INPUT_CARD_OUT" sheetId="5" r:id="Rc45618a8508c4464"/>
    <x:sheet xmlns:r="http://schemas.openxmlformats.org/officeDocument/2006/relationships" name="INPUT_DIGITAL_RAW" sheetId="6" r:id="R8c05021add4f4392"/>
    <x:sheet xmlns:r="http://schemas.openxmlformats.org/officeDocument/2006/relationships" name="INPUT_CALLS" sheetId="7" r:id="Rb4b5df546cc84d60"/>
    <x:sheet xmlns:r="http://schemas.openxmlformats.org/officeDocument/2006/relationships" name="INPUT_FCR" sheetId="8" r:id="R2e43b91dce5d4f0f"/>
    <x:sheet xmlns:r="http://schemas.openxmlformats.org/officeDocument/2006/relationships" name="INPUT_DIGITAL" sheetId="9" r:id="R041520a73b104551"/>
    <x:sheet xmlns:r="http://schemas.openxmlformats.org/officeDocument/2006/relationships" name="REPORT_LOAN" sheetId="10" r:id="R8d2c78bb12d8423d"/>
    <x:sheet xmlns:r="http://schemas.openxmlformats.org/officeDocument/2006/relationships" name="REPORT_CARD" sheetId="11" r:id="R7e16c4d07ab542b1"/>
    <x:sheet xmlns:r="http://schemas.openxmlformats.org/officeDocument/2006/relationships" name="REPORT_OTHER" sheetId="12" r:id="R1fa276ddd09349bd"/>
    <x:sheet xmlns:r="http://schemas.openxmlformats.org/officeDocument/2006/relationships" name="PPT_DATA" sheetId="13" r:id="R02a1df704ac14548"/>
    <x:sheet xmlns:r="http://schemas.openxmlformats.org/officeDocument/2006/relationships" name="QC" sheetId="14" r:id="Rcde17d7bcefa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56620"/>
      </x:patternFill>
    </x:fill>
    <x:fill>
      <x:patternFill patternType="solid">
        <x:fgColor rgb="FF075568"/>
      </x:patternFill>
    </x:fill>
    <x:fill>
      <x:patternFill patternType="solid">
        <x:fgColor rgb="FFFFF2CC"/>
      </x:patternFill>
    </x:fill>
    <x:fill>
      <x:patternFill patternType="solid">
        <x:fgColor rgb="FF14577D"/>
      </x:patternFill>
    </x:fill>
    <x:fill>
      <x:patternFill patternType="solid">
        <x:fgColor rgb="FFFFFFFF"/>
      </x:patternFill>
    </x:fill>
    <x:fill>
      <x:patternFill patternType="solid">
        <x:fgColor rgb="FF07596A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AD7DC"/>
      </x:left>
      <x:right style="thin">
        <x:color rgb="FFCAD7DC"/>
      </x:right>
      <x:top style="thin">
        <x:color rgb="FFCAD7DC"/>
      </x:top>
      <x:bottom style="thin">
        <x:color rgb="FFCAD7DC"/>
      </x:bottom>
    </x:border>
  </x:borders>
  <x:cellStyleXfs count="1">
    <x:xf numFmtId="0" fontId="0" fillId="0" borderId="0"/>
  </x:cellStyleXfs>
  <x:cellXfs count="2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5b51d19ff4254" /><Relationship Type="http://schemas.openxmlformats.org/officeDocument/2006/relationships/theme" Target="/xl/theme/theme1.xml" Id="Rebe31120f5b84be7" /><Relationship Type="http://schemas.openxmlformats.org/officeDocument/2006/relationships/sharedStrings" Target="/xl/sharedStrings.xml" Id="R8e7c28cf7e094594" /><Relationship Type="http://schemas.openxmlformats.org/officeDocument/2006/relationships/worksheet" Target="/xl/worksheets/sheet1.xml" Id="R31ccc83ba9c54848" /><Relationship Type="http://schemas.openxmlformats.org/officeDocument/2006/relationships/worksheet" Target="/xl/worksheets/sheet2.xml" Id="Ree2f01d208cd41cb" /><Relationship Type="http://schemas.openxmlformats.org/officeDocument/2006/relationships/worksheet" Target="/xl/worksheets/sheet3.xml" Id="Ra57d295f77db458a" /><Relationship Type="http://schemas.openxmlformats.org/officeDocument/2006/relationships/worksheet" Target="/xl/worksheets/sheet4.xml" Id="R4a685ed1c9b14df2" /><Relationship Type="http://schemas.openxmlformats.org/officeDocument/2006/relationships/worksheet" Target="/xl/worksheets/sheet5.xml" Id="Rc45618a8508c4464" /><Relationship Type="http://schemas.openxmlformats.org/officeDocument/2006/relationships/worksheet" Target="/xl/worksheets/sheet6.xml" Id="R8c05021add4f4392" /><Relationship Type="http://schemas.openxmlformats.org/officeDocument/2006/relationships/worksheet" Target="/xl/worksheets/sheet7.xml" Id="Rb4b5df546cc84d60" /><Relationship Type="http://schemas.openxmlformats.org/officeDocument/2006/relationships/worksheet" Target="/xl/worksheets/sheet8.xml" Id="R2e43b91dce5d4f0f" /><Relationship Type="http://schemas.openxmlformats.org/officeDocument/2006/relationships/worksheet" Target="/xl/worksheets/sheet9.xml" Id="R041520a73b104551" /><Relationship Type="http://schemas.openxmlformats.org/officeDocument/2006/relationships/worksheet" Target="/xl/worksheets/sheet10.xml" Id="R8d2c78bb12d8423d" /><Relationship Type="http://schemas.openxmlformats.org/officeDocument/2006/relationships/worksheet" Target="/xl/worksheets/sheet11.xml" Id="R7e16c4d07ab542b1" /><Relationship Type="http://schemas.openxmlformats.org/officeDocument/2006/relationships/worksheet" Target="/xl/worksheets/sheet12.xml" Id="R1fa276ddd09349bd" /><Relationship Type="http://schemas.openxmlformats.org/officeDocument/2006/relationships/worksheet" Target="/xl/worksheets/sheet13.xml" Id="R02a1df704ac14548" /><Relationship Type="http://schemas.openxmlformats.org/officeDocument/2006/relationships/worksheet" Target="/xl/worksheets/sheet14.xml" Id="Rcde17d7bcefa41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7aac062ad4401d" /><Relationship Type="http://schemas.openxmlformats.org/officeDocument/2006/relationships/chart" Target="/xl/drawings/charts/chart2.xml" Id="R509a3504c0bd47f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bab949499f94d0e" /><Relationship Type="http://schemas.openxmlformats.org/officeDocument/2006/relationships/chart" Target="/xl/drawings/charts/chart4.xml" Id="R5288d801e36f454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dae02261dfa45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LOAN: quy mô và lỗi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Tổng QA</c:v>
          </c:tx>
          <c:cat>
            <c:strRef>
              <c:f>'REPORT_LOAN'!$A$4:$A$5</c:f>
              <c:strCache>
                <c:ptCount val="0"/>
              </c:strCache>
            </c:strRef>
          </c:cat>
          <c:val>
            <c:numRef>
              <c:f>'REPORT_LOAN'!$B$4:$B$5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Đạt 100</c:v>
          </c:tx>
          <c:cat>
            <c:strRef>
              <c:f>'REPORT_LOAN'!$A$4:$A$5</c:f>
              <c:strCache>
                <c:ptCount val="0"/>
              </c:strCache>
            </c:strRef>
          </c:cat>
          <c:val>
            <c:numRef>
              <c:f>'REPORT_LOAN'!$C$4:$C$5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Có lỗi</c:v>
          </c:tx>
          <c:cat>
            <c:strRef>
              <c:f>'REPORT_LOAN'!$A$4:$A$5</c:f>
              <c:strCache>
                <c:ptCount val="0"/>
              </c:strCache>
            </c:strRef>
          </c:cat>
          <c:val>
            <c:numRef>
              <c:f>'REPORT_LOAN'!$D$4:$D$5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Tỷ lệ lỗi</c:v>
          </c:tx>
          <c:cat>
            <c:strRef>
              <c:f>'REPORT_LOAN'!$A$4:$A$5</c:f>
              <c:strCache>
                <c:ptCount val="0"/>
              </c:strCache>
            </c:strRef>
          </c:cat>
          <c:val>
            <c:numRef>
              <c:f>'REPORT_LOAN'!$E$4:$E$5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LOAN: cơ cấu lỗi tiêu chí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Mở đầu</c:v>
          </c:tx>
          <c:cat>
            <c:strRef>
              <c:f>'REPORT_LOAN'!$A$10:$A$11</c:f>
              <c:strCache>
                <c:ptCount val="0"/>
              </c:strCache>
            </c:strRef>
          </c:cat>
          <c:val>
            <c:numRef>
              <c:f>'REPORT_LOAN'!$B$10:$B$11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Giao tiếp</c:v>
          </c:tx>
          <c:cat>
            <c:strRef>
              <c:f>'REPORT_LOAN'!$A$10:$A$11</c:f>
              <c:strCache>
                <c:ptCount val="0"/>
              </c:strCache>
            </c:strRef>
          </c:cat>
          <c:val>
            <c:numRef>
              <c:f>'REPORT_LOAN'!$C$10:$C$11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Nghiệp vụ</c:v>
          </c:tx>
          <c:cat>
            <c:strRef>
              <c:f>'REPORT_LOAN'!$A$10:$A$11</c:f>
              <c:strCache>
                <c:ptCount val="0"/>
              </c:strCache>
            </c:strRef>
          </c:cat>
          <c:val>
            <c:numRef>
              <c:f>'REPORT_LOAN'!$D$10:$D$11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Kết thúc</c:v>
          </c:tx>
          <c:cat>
            <c:strRef>
              <c:f>'REPORT_LOAN'!$A$10:$A$11</c:f>
              <c:strCache>
                <c:ptCount val="0"/>
              </c:strCache>
            </c:strRef>
          </c:cat>
          <c:val>
            <c:numRef>
              <c:f>'REPORT_LOAN'!$E$10:$E$11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CARD: quy mô và lỗi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Tổng QA</c:v>
          </c:tx>
          <c:cat>
            <c:strRef>
              <c:f>'REPORT_CARD'!$A$4:$A$5</c:f>
              <c:strCache>
                <c:ptCount val="0"/>
              </c:strCache>
            </c:strRef>
          </c:cat>
          <c:val>
            <c:numRef>
              <c:f>'REPORT_CARD'!$B$4:$B$5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Đạt 100</c:v>
          </c:tx>
          <c:cat>
            <c:strRef>
              <c:f>'REPORT_CARD'!$A$4:$A$5</c:f>
              <c:strCache>
                <c:ptCount val="0"/>
              </c:strCache>
            </c:strRef>
          </c:cat>
          <c:val>
            <c:numRef>
              <c:f>'REPORT_CARD'!$C$4:$C$5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Có lỗi</c:v>
          </c:tx>
          <c:cat>
            <c:strRef>
              <c:f>'REPORT_CARD'!$A$4:$A$5</c:f>
              <c:strCache>
                <c:ptCount val="0"/>
              </c:strCache>
            </c:strRef>
          </c:cat>
          <c:val>
            <c:numRef>
              <c:f>'REPORT_CARD'!$D$4:$D$5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Tỷ lệ lỗi</c:v>
          </c:tx>
          <c:cat>
            <c:strRef>
              <c:f>'REPORT_CARD'!$A$4:$A$5</c:f>
              <c:strCache>
                <c:ptCount val="0"/>
              </c:strCache>
            </c:strRef>
          </c:cat>
          <c:val>
            <c:numRef>
              <c:f>'REPORT_CARD'!$E$4:$E$5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CARD: cơ cấu lỗi tiêu chí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Mở đầu</c:v>
          </c:tx>
          <c:cat>
            <c:strRef>
              <c:f>'REPORT_CARD'!$A$10:$A$11</c:f>
              <c:strCache>
                <c:ptCount val="0"/>
              </c:strCache>
            </c:strRef>
          </c:cat>
          <c:val>
            <c:numRef>
              <c:f>'REPORT_CARD'!$B$10:$B$11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Giao tiếp</c:v>
          </c:tx>
          <c:cat>
            <c:strRef>
              <c:f>'REPORT_CARD'!$A$10:$A$11</c:f>
              <c:strCache>
                <c:ptCount val="0"/>
              </c:strCache>
            </c:strRef>
          </c:cat>
          <c:val>
            <c:numRef>
              <c:f>'REPORT_CARD'!$C$10:$C$11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Nghiệp vụ</c:v>
          </c:tx>
          <c:cat>
            <c:strRef>
              <c:f>'REPORT_CARD'!$A$10:$A$11</c:f>
              <c:strCache>
                <c:ptCount val="0"/>
              </c:strCache>
            </c:strRef>
          </c:cat>
          <c:val>
            <c:numRef>
              <c:f>'REPORT_CARD'!$D$10:$D$11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Kết thúc</c:v>
          </c:tx>
          <c:cat>
            <c:strRef>
              <c:f>'REPORT_CARD'!$A$10:$A$11</c:f>
              <c:strCache>
                <c:ptCount val="0"/>
              </c:strCache>
            </c:strRef>
          </c:cat>
          <c:val>
            <c:numRef>
              <c:f>'REPORT_CARD'!$E$10:$E$11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Chatbot / Zalo / Fanpage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Case QA</c:v>
          </c:tx>
          <c:cat>
            <c:strRef>
              <c:f>'REPORT_OTHER'!$D$4:$D$6</c:f>
              <c:strCache>
                <c:ptCount val="0"/>
              </c:strCache>
            </c:strRef>
          </c:cat>
          <c:val>
            <c:numRef>
              <c:f>'REPORT_OTHER'!$E$4:$E$6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Case lỗi</c:v>
          </c:tx>
          <c:cat>
            <c:strRef>
              <c:f>'REPORT_OTHER'!$D$4:$D$6</c:f>
              <c:strCache>
                <c:ptCount val="0"/>
              </c:strCache>
            </c:strRef>
          </c:cat>
          <c:val>
            <c:numRef>
              <c:f>'REPORT_OTHER'!$F$4:$F$6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7aac062ad4401d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9a3504c0bd47f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ab949499f94d0e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88d801e36f454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ae02261dfa45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FCR" displayName="InputFCR" ref="A1:H2" headerRowCount="1" totalsRowCount="0" totalsRowShown="0">
  <x:tableColumns count="8">
    <x:tableColumn id="1" name="Kỳ báo cáo"/>
    <x:tableColumn id="2" name="Tổng HĐ giám sát"/>
    <x:tableColumn id="3" name="CS tư vấn chưa đủ/chính xác"/>
    <x:tableColumn id="4" name="Cuộc gọi bổ sung"/>
    <x:tableColumn id="5" name="HĐ thanh lý giám sát"/>
    <x:tableColumn id="6" name="Không đăng ký thanh lý"/>
    <x:tableColumn id="7" name="Báo sai ngày/số tiền"/>
    <x:tableColumn id="8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Digital" displayName="InputDigital" ref="A1:G4" headerRowCount="1" totalsRowCount="0" totalsRowShown="0">
  <x:tableColumns count="7">
    <x:tableColumn id="1" name="Kỳ báo cáo"/>
    <x:tableColumn id="2" name="Kênh"/>
    <x:tableColumn id="3" name="Tổng case QA"/>
    <x:tableColumn id="4" name="Case lỗi"/>
    <x:tableColumn id="5" name="Điểm QA TB"/>
    <x:tableColumn id="6" name="Nhóm lỗi chính"/>
    <x:tableColumn id="7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9bbb2f4bc47547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b03fdaae056146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57d5f3a935f546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d9993485e2c04f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3.xml" Id="Rd24a1689c529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1" t="str">
        <x:v>QA DATA &amp; AUTO REPORT</x:v>
      </x:c>
      <x:c r="B1" s="11"/>
      <x:c r="C1" s="11"/>
      <x:c r="D1" s="11"/>
      <x:c r="E1" s="11"/>
      <x:c r="F1" s="11"/>
      <x:c r="G1" s="11"/>
      <x:c r="H1" s="11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0" t="str">
        <x:v>Quy trình hàng tháng</x:v>
      </x:c>
      <x:c r="B3" s="20"/>
      <x:c r="C3" s="20"/>
      <x:c r="D3" s="20"/>
      <x:c r="E3" s="20"/>
      <x:c r="F3" s="20"/>
      <x:c r="G3" s="20"/>
      <x:c r="H3" s="20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4" t="str">
        <x:v>Bước</x:v>
      </x:c>
      <x:c r="B5" s="4" t="str">
        <x:v>Thao tác</x:v>
      </x:c>
      <x:c r="C5" s="4" t="str"/>
      <x:c r="D5" s="4" t="str"/>
      <x:c r="E5" s="4" t="str"/>
      <x:c r="F5" s="4" t="str"/>
      <x:c r="G5" s="4" t="str"/>
      <x:c r="H5" s="4" t="str"/>
    </x:row>
    <x:row r="6">
      <x:c r="A6" s="4" t="n">
        <x:v>1</x:v>
      </x:c>
      <x:c r="B6" s="4" t="str">
        <x:v>Copy dữ liệu từ dòng 5 của file Loan vào INPUT_LOAN_IN và INPUT_LOAN_OUT.</x:v>
      </x:c>
      <x:c r="C6" s="4" t="str"/>
      <x:c r="D6" s="4" t="str"/>
      <x:c r="E6" s="4" t="str"/>
      <x:c r="F6" s="4" t="str"/>
      <x:c r="G6" s="4" t="str"/>
      <x:c r="H6" s="4" t="str"/>
    </x:row>
    <x:row r="7">
      <x:c r="A7" s="4" t="n">
        <x:v>2</x:v>
      </x:c>
      <x:c r="B7" s="4" t="str">
        <x:v>Copy dữ liệu từ dòng 5 của file Card vào INPUT_CARD_IN và INPUT_CARD_OUT.</x:v>
      </x:c>
      <x:c r="C7" s="4" t="str"/>
      <x:c r="D7" s="4" t="str"/>
      <x:c r="E7" s="4" t="str"/>
      <x:c r="F7" s="4" t="str"/>
      <x:c r="G7" s="4" t="str"/>
      <x:c r="H7" s="4" t="str"/>
    </x:row>
    <x:row r="8">
      <x:c r="A8" s="4" t="n">
        <x:v>3</x:v>
      </x:c>
      <x:c r="B8" s="4" t="str">
        <x:v>Copy dữ liệu từ dòng 5 của QA CHATBOT DATA vào INPUT_DIGITAL_RAW; giữ nguyên Y/N/O.</x:v>
      </x:c>
      <x:c r="C8" s="4" t="str"/>
      <x:c r="D8" s="4" t="str"/>
      <x:c r="E8" s="4" t="str"/>
      <x:c r="F8" s="4" t="str"/>
      <x:c r="G8" s="4" t="str"/>
      <x:c r="H8" s="4" t="str"/>
    </x:row>
    <x:row r="9">
      <x:c r="A9" s="4" t="n">
        <x:v>4</x:v>
      </x:c>
      <x:c r="B9" s="4" t="str">
        <x:v>Kiểm tra QC; lưu và đóng Excel khi tất cả kết quả đều PASS.</x:v>
      </x:c>
      <x:c r="C9" s="4" t="str"/>
      <x:c r="D9" s="4" t="str"/>
      <x:c r="E9" s="4" t="str"/>
      <x:c r="F9" s="4" t="str"/>
      <x:c r="G9" s="4" t="str"/>
      <x:c r="H9" s="4" t="str"/>
    </x:row>
    <x:row r="10">
      <x:c r="A10" s="4" t="n">
        <x:v>5</x:v>
      </x:c>
      <x:c r="B10" s="4" t="str">
        <x:v>Chạy RUN_AUTO_POWERPOINT.cmd; sau đó nhập nhận xét và kế hoạch trực tiếp trên PowerPoint.</x:v>
      </x:c>
      <x:c r="C10" s="4" t="str"/>
      <x:c r="D10" s="4" t="str"/>
      <x:c r="E10" s="4" t="str"/>
      <x:c r="F10" s="4" t="str"/>
      <x:c r="G10" s="4" t="str"/>
      <x:c r="H10" s="4" t="str"/>
    </x:row>
    <x:row r="11">
      <x:c r="A11" s="4"/>
      <x:c r="B11" s="4"/>
      <x:c r="C11" s="4"/>
      <x:c r="D11" s="4"/>
      <x:c r="E11" s="4"/>
      <x:c r="F11" s="4"/>
      <x:c r="G11" s="4"/>
      <x:c r="H11" s="4"/>
    </x:row>
    <x:row r="12">
      <x:c r="A12" s="20" t="str">
        <x:v>Cấu trúc báo cáo tự động</x:v>
      </x:c>
      <x:c r="B12" s="20"/>
      <x:c r="C12" s="20"/>
      <x:c r="D12" s="20"/>
      <x:c r="E12" s="20"/>
      <x:c r="F12" s="20"/>
      <x:c r="G12" s="20"/>
      <x:c r="H12" s="20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4" t="str">
        <x:v>A. LOAN</x:v>
      </x:c>
      <x:c r="B14" s="4" t="str"/>
      <x:c r="C14" s="4" t="str"/>
      <x:c r="D14" s="4" t="str"/>
      <x:c r="E14" s="4" t="str"/>
      <x:c r="F14" s="4" t="str"/>
      <x:c r="G14" s="4" t="str"/>
      <x:c r="H14" s="4" t="str"/>
    </x:row>
    <x:row r="15">
      <x:c r="A15" s="4" t="str">
        <x:v>I. Tổng quan kết quả đánh giá</x:v>
      </x:c>
      <x:c r="B15" s="4" t="str"/>
      <x:c r="C15" s="4" t="str"/>
      <x:c r="D15" s="4" t="str"/>
      <x:c r="E15" s="4" t="str"/>
      <x:c r="F15" s="4" t="str"/>
      <x:c r="G15" s="4" t="str"/>
      <x:c r="H15" s="4" t="str"/>
    </x:row>
    <x:row r="16">
      <x:c r="A16" s="4" t="str">
        <x:v>II. Chất lượng cuộc gọi Inbound</x:v>
      </x:c>
      <x:c r="B16" s="4" t="str"/>
      <x:c r="C16" s="4" t="str"/>
      <x:c r="D16" s="4" t="str"/>
      <x:c r="E16" s="4" t="str"/>
      <x:c r="F16" s="4" t="str"/>
      <x:c r="G16" s="4" t="str"/>
      <x:c r="H16" s="4" t="str"/>
    </x:row>
    <x:row r="17">
      <x:c r="A17" s="4" t="str">
        <x:v>III. Chất lượng cuộc gọi Outbound</x:v>
      </x:c>
      <x:c r="B17" s="4" t="str"/>
      <x:c r="C17" s="4" t="str"/>
      <x:c r="D17" s="4" t="str"/>
      <x:c r="E17" s="4" t="str"/>
      <x:c r="F17" s="4" t="str"/>
      <x:c r="G17" s="4" t="str"/>
      <x:c r="H17" s="4" t="str"/>
    </x:row>
    <x:row r="18">
      <x:c r="A18" s="4" t="str">
        <x:v>IV. FCR và tuân thủ quy trình thanh lý hợp đồng</x:v>
      </x:c>
      <x:c r="B18" s="4" t="str"/>
      <x:c r="C18" s="4" t="str"/>
      <x:c r="D18" s="4" t="str"/>
      <x:c r="E18" s="4" t="str"/>
      <x:c r="F18" s="4" t="str"/>
      <x:c r="G18" s="4" t="str"/>
      <x:c r="H18" s="4" t="str"/>
    </x:row>
    <x:row r="19">
      <x:c r="A19" s="4" t="str">
        <x:v>V. Chatbot / Zalo / Fanpage</x:v>
      </x:c>
      <x:c r="B19" s="4" t="str"/>
      <x:c r="C19" s="4" t="str"/>
      <x:c r="D19" s="4" t="str"/>
      <x:c r="E19" s="4" t="str"/>
      <x:c r="F19" s="4" t="str"/>
      <x:c r="G19" s="4" t="str"/>
      <x:c r="H19" s="4" t="str"/>
    </x:row>
    <x:row r="20">
      <x:c r="A20" s="4" t="str">
        <x:v>B. CARD</x:v>
      </x:c>
      <x:c r="B20" s="4" t="str"/>
      <x:c r="C20" s="4" t="str"/>
      <x:c r="D20" s="4" t="str"/>
      <x:c r="E20" s="4" t="str"/>
      <x:c r="F20" s="4" t="str"/>
      <x:c r="G20" s="4" t="str"/>
      <x:c r="H20" s="4" t="str"/>
    </x:row>
    <x:row r="21">
      <x:c r="A21" s="4" t="str">
        <x:v>I–III. Tổng quan, Inbound và Outbound</x:v>
      </x:c>
      <x:c r="B21" s="4" t="str"/>
      <x:c r="C21" s="4" t="str"/>
      <x:c r="D21" s="4" t="str"/>
      <x:c r="E21" s="4" t="str"/>
      <x:c r="F21" s="4" t="str"/>
      <x:c r="G21" s="4" t="str"/>
      <x:c r="H21" s="4" t="str"/>
    </x:row>
    <x:row r="22">
      <x:c r="A22" s="4" t="str">
        <x:v>C. Đề xuất và kế hoạch triển khai</x:v>
      </x:c>
      <x:c r="B22" s="4" t="str"/>
      <x:c r="C22" s="4" t="str"/>
      <x:c r="D22" s="4" t="str"/>
      <x:c r="E22" s="4" t="str"/>
      <x:c r="F22" s="4" t="str"/>
      <x:c r="G22" s="4" t="str"/>
      <x:c r="H22" s="4" t="str"/>
    </x:row>
  </x:sheetData>
  <x:mergeCells>
    <x:mergeCell ref="A1:H1"/>
    <x:mergeCell ref="A3:H3"/>
    <x:mergeCell ref="C5:H5"/>
    <x:mergeCell ref="C6:H6"/>
    <x:mergeCell ref="C7:H7"/>
    <x:mergeCell ref="C8:H8"/>
    <x:mergeCell ref="C9:H9"/>
    <x:mergeCell ref="C10:H10"/>
    <x:mergeCell ref="A12:H12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3" t="str">
        <x:v>Column 1</x:v>
      </x:c>
      <x:c r="B1" s="23" t="str">
        <x:v>Tên QA</x:v>
      </x:c>
      <x:c r="C1" s="23" t="str">
        <x:v>Tên CSO</x:v>
      </x:c>
      <x:c r="D1" s="23" t="str">
        <x:v>Số extension</x:v>
      </x:c>
      <x:c r="E1" s="23" t="str">
        <x:v>Ngày chấm </x:v>
      </x:c>
      <x:c r="F1" s="23" t="str">
        <x:v>Column 6</x:v>
      </x:c>
      <x:c r="G1" s="23" t="str">
        <x:v>Thời điểm</x:v>
      </x:c>
      <x:c r="H1" s="23" t="str">
        <x:v>Thời lượng</x:v>
      </x:c>
      <x:c r="I1" s="23" t="str">
        <x:v>Số điện thoại</x:v>
      </x:c>
      <x:c r="J1" s="23" t="str">
        <x:v>Số HĐ</x:v>
      </x:c>
      <x:c r="K1" s="23" t="str">
        <x:v>Nội dung cuộc gọi</x:v>
      </x:c>
      <x:c r="L1" s="23" t="str">
        <x:v>Chào KH</x:v>
      </x:c>
      <x:c r="M1" s="23" t="str">
        <x:v>Hỏi và gọi tên KH</x:v>
      </x:c>
      <x:c r="N1" s="23" t="str">
        <x:v>Âm lượng</x:v>
      </x:c>
      <x:c r="O1" s="23" t="str">
        <x:v>Phát âm</x:v>
      </x:c>
      <x:c r="P1" s="23" t="str">
        <x:v>Tốc độ giao tiếp</x:v>
      </x:c>
      <x:c r="Q1" s="23" t="str">
        <x:v>Ngôn ngữ phổ thông, dễ hiểu</x:v>
      </x:c>
      <x:c r="R1" s="23" t="str">
        <x:v>Dùng từ "vui lòng" hợp lý</x:v>
      </x:c>
      <x:c r="S1" s="23" t="str">
        <x:v>Ngôn từ chuẩn mực, biết cách nói "không" với KH</x:v>
      </x:c>
      <x:c r="T1" s="23" t="str">
        <x:v>Lắng nghe</x:v>
      </x:c>
      <x:c r="U1" s="23" t="str">
        <x:v>Lịch sự, chuyên nghiệp</x:v>
      </x:c>
      <x:c r="V1" s="23" t="str">
        <x:v>Thái độ</x:v>
      </x:c>
      <x:c r="W1" s="23" t="str">
        <x:v>Thấu cảm</x:v>
      </x:c>
      <x:c r="X1" s="23" t="str">
        <x:v>Xin lỗi KH khi cần thiết</x:v>
      </x:c>
      <x:c r="Y1" s="23" t="str">
        <x:v>Cảm ơn KH khi cần thiết</x:v>
      </x:c>
      <x:c r="Z1" s="23" t="str">
        <x:v>Quản lý/ Định hướng cuộc gọi</x:v>
      </x:c>
      <x:c r="AA1" s="23" t="str">
        <x:v>Hiểu yêu cầu cần hỗ trợ của KH</x:v>
      </x:c>
      <x:c r="AB1" s="23" t="str">
        <x:v>Xác minh KH</x:v>
      </x:c>
      <x:c r="AC1" s="23" t="str">
        <x:v>Kiến thức nghiệp vụ</x:v>
      </x:c>
      <x:c r="AD1" s="23" t="str">
        <x:v>Trả lời nhanh chóng</x:v>
      </x:c>
      <x:c r="AE1" s="23" t="str">
        <x:v>Hỗ trợ chủ động và hợp lý</x:v>
      </x:c>
      <x:c r="AF1" s="23" t="str">
        <x:v>Cung cấp giải pháp tối ưu cho KH</x:v>
      </x:c>
      <x:c r="AG1" s="23" t="str">
        <x:v>Hỏi KH có cần hỗ trợ thông tin gì khác không</x:v>
      </x:c>
      <x:c r="AH1" s="23" t="str">
        <x:v>Nếu cần hỗ trợ, gọi lại vào số tổng đài</x:v>
      </x:c>
      <x:c r="AI1" s="23" t="str">
        <x:v>Cảm ơn và chào KH</x:v>
      </x:c>
      <x:c r="AJ1" s="23" t="str">
        <x:v>Điểm mạnh</x:v>
      </x:c>
      <x:c r="AK1" s="23" t="str">
        <x:v>Điểm cần cải thiện</x:v>
      </x:c>
      <x:c r="AL1" s="23" t="str">
        <x:v>Column 38</x:v>
      </x:c>
      <x:c r="AM1" s="23" t="str">
        <x:v>Column 39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 s="26"/>
      <x:c r="AK2" s="26"/>
      <x:c r="AL2" s="26"/>
      <x:c r="AM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  <x:c r="AL3" s="26"/>
      <x:c r="AM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  <x:c r="AM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  <x:c r="AA5" s="26"/>
      <x:c r="AB5" s="26"/>
      <x:c r="AC5" s="26"/>
      <x:c r="AD5" s="26"/>
      <x:c r="AE5" s="26"/>
      <x:c r="AF5" s="26"/>
      <x:c r="AG5" s="26"/>
      <x:c r="AH5" s="26"/>
      <x:c r="AI5" s="26"/>
      <x:c r="AJ5" s="26"/>
      <x:c r="AK5" s="26"/>
      <x:c r="AL5" s="26"/>
      <x:c r="AM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26"/>
      <x:c r="AK6" s="26"/>
      <x:c r="AL6" s="26"/>
      <x:c r="AM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  <x:c r="AA7" s="26"/>
      <x:c r="AB7" s="26"/>
      <x:c r="AC7" s="26"/>
      <x:c r="AD7" s="26"/>
      <x:c r="AE7" s="26"/>
      <x:c r="AF7" s="26"/>
      <x:c r="AG7" s="26"/>
      <x:c r="AH7" s="26"/>
      <x:c r="AI7" s="26"/>
      <x:c r="AJ7" s="26"/>
      <x:c r="AK7" s="26"/>
      <x:c r="AL7" s="26"/>
      <x:c r="AM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  <x:c r="AA8" s="26"/>
      <x:c r="AB8" s="26"/>
      <x:c r="AC8" s="26"/>
      <x:c r="AD8" s="26"/>
      <x:c r="AE8" s="26"/>
      <x:c r="AF8" s="26"/>
      <x:c r="AG8" s="26"/>
      <x:c r="AH8" s="26"/>
      <x:c r="AI8" s="26"/>
      <x:c r="AJ8" s="26"/>
      <x:c r="AK8" s="26"/>
      <x:c r="AL8" s="26"/>
      <x:c r="AM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  <x:c r="AF9" s="26"/>
      <x:c r="AG9" s="26"/>
      <x:c r="AH9" s="26"/>
      <x:c r="AI9" s="26"/>
      <x:c r="AJ9" s="26"/>
      <x:c r="AK9" s="26"/>
      <x:c r="AL9" s="26"/>
      <x:c r="AM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  <x:c r="AA10" s="26"/>
      <x:c r="AB10" s="26"/>
      <x:c r="AC10" s="26"/>
      <x:c r="AD10" s="26"/>
      <x:c r="AE10" s="26"/>
      <x:c r="AF10" s="26"/>
      <x:c r="AG10" s="26"/>
      <x:c r="AH10" s="26"/>
      <x:c r="AI10" s="26"/>
      <x:c r="AJ10" s="26"/>
      <x:c r="AK10" s="26"/>
      <x:c r="AL10" s="26"/>
      <x:c r="AM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  <x:c r="AA11" s="26"/>
      <x:c r="AB11" s="26"/>
      <x:c r="AC11" s="26"/>
      <x:c r="AD11" s="26"/>
      <x:c r="AE11" s="26"/>
      <x:c r="AF11" s="26"/>
      <x:c r="AG11" s="26"/>
      <x:c r="AH11" s="26"/>
      <x:c r="AI11" s="26"/>
      <x:c r="AJ11" s="26"/>
      <x:c r="AK11" s="26"/>
      <x:c r="AL11" s="26"/>
      <x:c r="AM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  <x:c r="AA12" s="26"/>
      <x:c r="AB12" s="26"/>
      <x:c r="AC12" s="26"/>
      <x:c r="AD12" s="26"/>
      <x:c r="AE12" s="26"/>
      <x:c r="AF12" s="26"/>
      <x:c r="AG12" s="26"/>
      <x:c r="AH12" s="26"/>
      <x:c r="AI12" s="26"/>
      <x:c r="AJ12" s="26"/>
      <x:c r="AK12" s="26"/>
      <x:c r="AL12" s="26"/>
      <x:c r="AM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  <x:c r="AA13" s="26"/>
      <x:c r="AB13" s="26"/>
      <x:c r="AC13" s="26"/>
      <x:c r="AD13" s="26"/>
      <x:c r="AE13" s="26"/>
      <x:c r="AF13" s="26"/>
      <x:c r="AG13" s="26"/>
      <x:c r="AH13" s="26"/>
      <x:c r="AI13" s="26"/>
      <x:c r="AJ13" s="26"/>
      <x:c r="AK13" s="26"/>
      <x:c r="AL13" s="26"/>
      <x:c r="AM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  <x:c r="AA14" s="26"/>
      <x:c r="AB14" s="26"/>
      <x:c r="AC14" s="26"/>
      <x:c r="AD14" s="26"/>
      <x:c r="AE14" s="26"/>
      <x:c r="AF14" s="26"/>
      <x:c r="AG14" s="26"/>
      <x:c r="AH14" s="26"/>
      <x:c r="AI14" s="26"/>
      <x:c r="AJ14" s="26"/>
      <x:c r="AK14" s="26"/>
      <x:c r="AL14" s="26"/>
      <x:c r="AM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6"/>
      <x:c r="AK15" s="26"/>
      <x:c r="AL15" s="26"/>
      <x:c r="AM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  <x:c r="AA16" s="26"/>
      <x:c r="AB16" s="26"/>
      <x:c r="AC16" s="26"/>
      <x:c r="AD16" s="26"/>
      <x:c r="AE16" s="26"/>
      <x:c r="AF16" s="26"/>
      <x:c r="AG16" s="26"/>
      <x:c r="AH16" s="26"/>
      <x:c r="AI16" s="26"/>
      <x:c r="AJ16" s="26"/>
      <x:c r="AK16" s="26"/>
      <x:c r="AL16" s="26"/>
      <x:c r="AM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/>
      <x:c r="AI17" s="26"/>
      <x:c r="AJ17" s="26"/>
      <x:c r="AK17" s="26"/>
      <x:c r="AL17" s="26"/>
      <x:c r="AM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  <x:c r="AA18" s="26"/>
      <x:c r="AB18" s="26"/>
      <x:c r="AC18" s="26"/>
      <x:c r="AD18" s="26"/>
      <x:c r="AE18" s="26"/>
      <x:c r="AF18" s="26"/>
      <x:c r="AG18" s="26"/>
      <x:c r="AH18" s="26"/>
      <x:c r="AI18" s="26"/>
      <x:c r="AJ18" s="26"/>
      <x:c r="AK18" s="26"/>
      <x:c r="AL18" s="26"/>
      <x:c r="AM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/>
      <x:c r="AH19" s="26"/>
      <x:c r="AI19" s="26"/>
      <x:c r="AJ19" s="26"/>
      <x:c r="AK19" s="26"/>
      <x:c r="AL19" s="26"/>
      <x:c r="AM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  <x:c r="AA20" s="26"/>
      <x:c r="AB20" s="26"/>
      <x:c r="AC20" s="26"/>
      <x:c r="AD20" s="26"/>
      <x:c r="AE20" s="26"/>
      <x:c r="AF20" s="26"/>
      <x:c r="AG20" s="26"/>
      <x:c r="AH20" s="26"/>
      <x:c r="AI20" s="26"/>
      <x:c r="AJ20" s="26"/>
      <x:c r="AK20" s="26"/>
      <x:c r="AL20" s="26"/>
      <x:c r="AM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  <x:c r="AA21" s="26"/>
      <x:c r="AB21" s="26"/>
      <x:c r="AC21" s="26"/>
      <x:c r="AD21" s="26"/>
      <x:c r="AE21" s="26"/>
      <x:c r="AF21" s="26"/>
      <x:c r="AG21" s="26"/>
      <x:c r="AH21" s="26"/>
      <x:c r="AI21" s="26"/>
      <x:c r="AJ21" s="26"/>
      <x:c r="AK21" s="26"/>
      <x:c r="AL21" s="26"/>
      <x:c r="AM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  <x:c r="AA22" s="26"/>
      <x:c r="AB22" s="26"/>
      <x:c r="AC22" s="26"/>
      <x:c r="AD22" s="26"/>
      <x:c r="AE22" s="26"/>
      <x:c r="AF22" s="26"/>
      <x:c r="AG22" s="26"/>
      <x:c r="AH22" s="26"/>
      <x:c r="AI22" s="26"/>
      <x:c r="AJ22" s="26"/>
      <x:c r="AK22" s="26"/>
      <x:c r="AL22" s="26"/>
      <x:c r="AM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  <x:c r="AD23" s="26"/>
      <x:c r="AE23" s="26"/>
      <x:c r="AF23" s="26"/>
      <x:c r="AG23" s="26"/>
      <x:c r="AH23" s="26"/>
      <x:c r="AI23" s="26"/>
      <x:c r="AJ23" s="26"/>
      <x:c r="AK23" s="26"/>
      <x:c r="AL23" s="26"/>
      <x:c r="AM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26"/>
      <x:c r="AM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  <x:c r="AF25" s="26"/>
      <x:c r="AG25" s="26"/>
      <x:c r="AH25" s="26"/>
      <x:c r="AI25" s="26"/>
      <x:c r="AJ25" s="26"/>
      <x:c r="AK25" s="26"/>
      <x:c r="AL25" s="26"/>
      <x:c r="AM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  <x:c r="AA26" s="26"/>
      <x:c r="AB26" s="26"/>
      <x:c r="AC26" s="26"/>
      <x:c r="AD26" s="26"/>
      <x:c r="AE26" s="26"/>
      <x:c r="AF26" s="26"/>
      <x:c r="AG26" s="26"/>
      <x:c r="AH26" s="26"/>
      <x:c r="AI26" s="26"/>
      <x:c r="AJ26" s="26"/>
      <x:c r="AK26" s="26"/>
      <x:c r="AL26" s="26"/>
      <x:c r="AM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  <x:c r="AA27" s="26"/>
      <x:c r="AB27" s="26"/>
      <x:c r="AC27" s="26"/>
      <x:c r="AD27" s="26"/>
      <x:c r="AE27" s="26"/>
      <x:c r="AF27" s="26"/>
      <x:c r="AG27" s="26"/>
      <x:c r="AH27" s="26"/>
      <x:c r="AI27" s="26"/>
      <x:c r="AJ27" s="26"/>
      <x:c r="AK27" s="26"/>
      <x:c r="AL27" s="26"/>
      <x:c r="AM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  <x:c r="AA28" s="26"/>
      <x:c r="AB28" s="26"/>
      <x:c r="AC28" s="26"/>
      <x:c r="AD28" s="26"/>
      <x:c r="AE28" s="26"/>
      <x:c r="AF28" s="26"/>
      <x:c r="AG28" s="26"/>
      <x:c r="AH28" s="26"/>
      <x:c r="AI28" s="26"/>
      <x:c r="AJ28" s="26"/>
      <x:c r="AK28" s="26"/>
      <x:c r="AL28" s="26"/>
      <x:c r="AM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  <x:c r="AA29" s="26"/>
      <x:c r="AB29" s="26"/>
      <x:c r="AC29" s="26"/>
      <x:c r="AD29" s="26"/>
      <x:c r="AE29" s="26"/>
      <x:c r="AF29" s="26"/>
      <x:c r="AG29" s="26"/>
      <x:c r="AH29" s="26"/>
      <x:c r="AI29" s="26"/>
      <x:c r="AJ29" s="26"/>
      <x:c r="AK29" s="26"/>
      <x:c r="AL29" s="26"/>
      <x:c r="AM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  <x:c r="AA30" s="26"/>
      <x:c r="AB30" s="26"/>
      <x:c r="AC30" s="26"/>
      <x:c r="AD30" s="26"/>
      <x:c r="AE30" s="26"/>
      <x:c r="AF30" s="26"/>
      <x:c r="AG30" s="26"/>
      <x:c r="AH30" s="26"/>
      <x:c r="AI30" s="26"/>
      <x:c r="AJ30" s="26"/>
      <x:c r="AK30" s="26"/>
      <x:c r="AL30" s="26"/>
      <x:c r="AM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  <x:c r="AA31" s="26"/>
      <x:c r="AB31" s="26"/>
      <x:c r="AC31" s="26"/>
      <x:c r="AD31" s="26"/>
      <x:c r="AE31" s="26"/>
      <x:c r="AF31" s="26"/>
      <x:c r="AG31" s="26"/>
      <x:c r="AH31" s="26"/>
      <x:c r="AI31" s="26"/>
      <x:c r="AJ31" s="26"/>
      <x:c r="AK31" s="26"/>
      <x:c r="AL31" s="26"/>
      <x:c r="AM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  <x:c r="AC32" s="26"/>
      <x:c r="AD32" s="26"/>
      <x:c r="AE32" s="26"/>
      <x:c r="AF32" s="26"/>
      <x:c r="AG32" s="26"/>
      <x:c r="AH32" s="26"/>
      <x:c r="AI32" s="26"/>
      <x:c r="AJ32" s="26"/>
      <x:c r="AK32" s="26"/>
      <x:c r="AL32" s="26"/>
      <x:c r="AM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  <x:c r="AA33" s="26"/>
      <x:c r="AB33" s="26"/>
      <x:c r="AC33" s="26"/>
      <x:c r="AD33" s="26"/>
      <x:c r="AE33" s="26"/>
      <x:c r="AF33" s="26"/>
      <x:c r="AG33" s="26"/>
      <x:c r="AH33" s="26"/>
      <x:c r="AI33" s="26"/>
      <x:c r="AJ33" s="26"/>
      <x:c r="AK33" s="26"/>
      <x:c r="AL33" s="26"/>
      <x:c r="AM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  <x:c r="AC34" s="26"/>
      <x:c r="AD34" s="26"/>
      <x:c r="AE34" s="26"/>
      <x:c r="AF34" s="26"/>
      <x:c r="AG34" s="26"/>
      <x:c r="AH34" s="26"/>
      <x:c r="AI34" s="26"/>
      <x:c r="AJ34" s="26"/>
      <x:c r="AK34" s="26"/>
      <x:c r="AL34" s="26"/>
      <x:c r="AM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  <x:c r="AA35" s="26"/>
      <x:c r="AB35" s="26"/>
      <x:c r="AC35" s="26"/>
      <x:c r="AD35" s="26"/>
      <x:c r="AE35" s="26"/>
      <x:c r="AF35" s="26"/>
      <x:c r="AG35" s="26"/>
      <x:c r="AH35" s="26"/>
      <x:c r="AI35" s="26"/>
      <x:c r="AJ35" s="26"/>
      <x:c r="AK35" s="26"/>
      <x:c r="AL35" s="26"/>
      <x:c r="AM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  <x:c r="AC36" s="26"/>
      <x:c r="AD36" s="26"/>
      <x:c r="AE36" s="26"/>
      <x:c r="AF36" s="26"/>
      <x:c r="AG36" s="26"/>
      <x:c r="AH36" s="26"/>
      <x:c r="AI36" s="26"/>
      <x:c r="AJ36" s="26"/>
      <x:c r="AK36" s="26"/>
      <x:c r="AL36" s="26"/>
      <x:c r="AM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6"/>
      <x:c r="AD37" s="26"/>
      <x:c r="AE37" s="26"/>
      <x:c r="AF37" s="26"/>
      <x:c r="AG37" s="26"/>
      <x:c r="AH37" s="26"/>
      <x:c r="AI37" s="26"/>
      <x:c r="AJ37" s="26"/>
      <x:c r="AK37" s="26"/>
      <x:c r="AL37" s="26"/>
      <x:c r="AM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  <x:c r="AC38" s="26"/>
      <x:c r="AD38" s="26"/>
      <x:c r="AE38" s="26"/>
      <x:c r="AF38" s="26"/>
      <x:c r="AG38" s="26"/>
      <x:c r="AH38" s="26"/>
      <x:c r="AI38" s="26"/>
      <x:c r="AJ38" s="26"/>
      <x:c r="AK38" s="26"/>
      <x:c r="AL38" s="26"/>
      <x:c r="AM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  <x:c r="AC39" s="26"/>
      <x:c r="AD39" s="26"/>
      <x:c r="AE39" s="26"/>
      <x:c r="AF39" s="26"/>
      <x:c r="AG39" s="26"/>
      <x:c r="AH39" s="26"/>
      <x:c r="AI39" s="26"/>
      <x:c r="AJ39" s="26"/>
      <x:c r="AK39" s="26"/>
      <x:c r="AL39" s="26"/>
      <x:c r="AM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  <x:c r="AC40" s="26"/>
      <x:c r="AD40" s="26"/>
      <x:c r="AE40" s="26"/>
      <x:c r="AF40" s="26"/>
      <x:c r="AG40" s="26"/>
      <x:c r="AH40" s="26"/>
      <x:c r="AI40" s="26"/>
      <x:c r="AJ40" s="26"/>
      <x:c r="AK40" s="26"/>
      <x:c r="AL40" s="26"/>
      <x:c r="AM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  <x:c r="AG41" s="26"/>
      <x:c r="AH41" s="26"/>
      <x:c r="AI41" s="26"/>
      <x:c r="AJ41" s="26"/>
      <x:c r="AK41" s="26"/>
      <x:c r="AL41" s="26"/>
      <x:c r="AM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  <x:c r="AG42" s="26"/>
      <x:c r="AH42" s="26"/>
      <x:c r="AI42" s="26"/>
      <x:c r="AJ42" s="26"/>
      <x:c r="AK42" s="26"/>
      <x:c r="AL42" s="26"/>
      <x:c r="AM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  <x:c r="AG43" s="26"/>
      <x:c r="AH43" s="26"/>
      <x:c r="AI43" s="26"/>
      <x:c r="AJ43" s="26"/>
      <x:c r="AK43" s="26"/>
      <x:c r="AL43" s="26"/>
      <x:c r="AM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  <x:c r="AF44" s="26"/>
      <x:c r="AG44" s="26"/>
      <x:c r="AH44" s="26"/>
      <x:c r="AI44" s="26"/>
      <x:c r="AJ44" s="26"/>
      <x:c r="AK44" s="26"/>
      <x:c r="AL44" s="26"/>
      <x:c r="AM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26"/>
      <x:c r="AG45" s="26"/>
      <x:c r="AH45" s="26"/>
      <x:c r="AI45" s="26"/>
      <x:c r="AJ45" s="26"/>
      <x:c r="AK45" s="26"/>
      <x:c r="AL45" s="26"/>
      <x:c r="AM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  <x:c r="AG46" s="26"/>
      <x:c r="AH46" s="26"/>
      <x:c r="AI46" s="26"/>
      <x:c r="AJ46" s="26"/>
      <x:c r="AK46" s="26"/>
      <x:c r="AL46" s="26"/>
      <x:c r="AM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  <x:c r="AA47" s="26"/>
      <x:c r="AB47" s="26"/>
      <x:c r="AC47" s="26"/>
      <x:c r="AD47" s="26"/>
      <x:c r="AE47" s="26"/>
      <x:c r="AF47" s="26"/>
      <x:c r="AG47" s="26"/>
      <x:c r="AH47" s="26"/>
      <x:c r="AI47" s="26"/>
      <x:c r="AJ47" s="26"/>
      <x:c r="AK47" s="26"/>
      <x:c r="AL47" s="26"/>
      <x:c r="AM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  <x:c r="AA48" s="26"/>
      <x:c r="AB48" s="26"/>
      <x:c r="AC48" s="26"/>
      <x:c r="AD48" s="26"/>
      <x:c r="AE48" s="26"/>
      <x:c r="AF48" s="26"/>
      <x:c r="AG48" s="26"/>
      <x:c r="AH48" s="26"/>
      <x:c r="AI48" s="26"/>
      <x:c r="AJ48" s="26"/>
      <x:c r="AK48" s="26"/>
      <x:c r="AL48" s="26"/>
      <x:c r="AM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  <x:c r="AA49" s="26"/>
      <x:c r="AB49" s="26"/>
      <x:c r="AC49" s="26"/>
      <x:c r="AD49" s="26"/>
      <x:c r="AE49" s="26"/>
      <x:c r="AF49" s="26"/>
      <x:c r="AG49" s="26"/>
      <x:c r="AH49" s="26"/>
      <x:c r="AI49" s="26"/>
      <x:c r="AJ49" s="26"/>
      <x:c r="AK49" s="26"/>
      <x:c r="AL49" s="26"/>
      <x:c r="AM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  <x:c r="AA50" s="26"/>
      <x:c r="AB50" s="26"/>
      <x:c r="AC50" s="26"/>
      <x:c r="AD50" s="26"/>
      <x:c r="AE50" s="26"/>
      <x:c r="AF50" s="26"/>
      <x:c r="AG50" s="26"/>
      <x:c r="AH50" s="26"/>
      <x:c r="AI50" s="26"/>
      <x:c r="AJ50" s="26"/>
      <x:c r="AK50" s="26"/>
      <x:c r="AL50" s="26"/>
      <x:c r="AM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  <x:c r="AA51" s="26"/>
      <x:c r="AB51" s="26"/>
      <x:c r="AC51" s="26"/>
      <x:c r="AD51" s="26"/>
      <x:c r="AE51" s="26"/>
      <x:c r="AF51" s="26"/>
      <x:c r="AG51" s="26"/>
      <x:c r="AH51" s="26"/>
      <x:c r="AI51" s="26"/>
      <x:c r="AJ51" s="26"/>
      <x:c r="AK51" s="26"/>
      <x:c r="AL51" s="26"/>
      <x:c r="AM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  <x:c r="AA52" s="26"/>
      <x:c r="AB52" s="26"/>
      <x:c r="AC52" s="26"/>
      <x:c r="AD52" s="26"/>
      <x:c r="AE52" s="26"/>
      <x:c r="AF52" s="26"/>
      <x:c r="AG52" s="26"/>
      <x:c r="AH52" s="26"/>
      <x:c r="AI52" s="26"/>
      <x:c r="AJ52" s="26"/>
      <x:c r="AK52" s="26"/>
      <x:c r="AL52" s="26"/>
      <x:c r="AM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  <x:c r="AA53" s="26"/>
      <x:c r="AB53" s="26"/>
      <x:c r="AC53" s="26"/>
      <x:c r="AD53" s="26"/>
      <x:c r="AE53" s="26"/>
      <x:c r="AF53" s="26"/>
      <x:c r="AG53" s="26"/>
      <x:c r="AH53" s="26"/>
      <x:c r="AI53" s="26"/>
      <x:c r="AJ53" s="26"/>
      <x:c r="AK53" s="26"/>
      <x:c r="AL53" s="26"/>
      <x:c r="AM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  <x:c r="AA54" s="26"/>
      <x:c r="AB54" s="26"/>
      <x:c r="AC54" s="26"/>
      <x:c r="AD54" s="26"/>
      <x:c r="AE54" s="26"/>
      <x:c r="AF54" s="26"/>
      <x:c r="AG54" s="26"/>
      <x:c r="AH54" s="26"/>
      <x:c r="AI54" s="26"/>
      <x:c r="AJ54" s="26"/>
      <x:c r="AK54" s="26"/>
      <x:c r="AL54" s="26"/>
      <x:c r="AM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  <x:c r="AA55" s="26"/>
      <x:c r="AB55" s="26"/>
      <x:c r="AC55" s="26"/>
      <x:c r="AD55" s="26"/>
      <x:c r="AE55" s="26"/>
      <x:c r="AF55" s="26"/>
      <x:c r="AG55" s="26"/>
      <x:c r="AH55" s="26"/>
      <x:c r="AI55" s="26"/>
      <x:c r="AJ55" s="26"/>
      <x:c r="AK55" s="26"/>
      <x:c r="AL55" s="26"/>
      <x:c r="AM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  <x:c r="AA56" s="26"/>
      <x:c r="AB56" s="26"/>
      <x:c r="AC56" s="26"/>
      <x:c r="AD56" s="26"/>
      <x:c r="AE56" s="26"/>
      <x:c r="AF56" s="26"/>
      <x:c r="AG56" s="26"/>
      <x:c r="AH56" s="26"/>
      <x:c r="AI56" s="26"/>
      <x:c r="AJ56" s="26"/>
      <x:c r="AK56" s="26"/>
      <x:c r="AL56" s="26"/>
      <x:c r="AM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  <x:c r="AA57" s="26"/>
      <x:c r="AB57" s="26"/>
      <x:c r="AC57" s="26"/>
      <x:c r="AD57" s="26"/>
      <x:c r="AE57" s="26"/>
      <x:c r="AF57" s="26"/>
      <x:c r="AG57" s="26"/>
      <x:c r="AH57" s="26"/>
      <x:c r="AI57" s="26"/>
      <x:c r="AJ57" s="26"/>
      <x:c r="AK57" s="26"/>
      <x:c r="AL57" s="26"/>
      <x:c r="AM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  <x:c r="AA58" s="26"/>
      <x:c r="AB58" s="26"/>
      <x:c r="AC58" s="26"/>
      <x:c r="AD58" s="26"/>
      <x:c r="AE58" s="26"/>
      <x:c r="AF58" s="26"/>
      <x:c r="AG58" s="26"/>
      <x:c r="AH58" s="26"/>
      <x:c r="AI58" s="26"/>
      <x:c r="AJ58" s="26"/>
      <x:c r="AK58" s="26"/>
      <x:c r="AL58" s="26"/>
      <x:c r="AM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  <x:c r="AA59" s="26"/>
      <x:c r="AB59" s="26"/>
      <x:c r="AC59" s="26"/>
      <x:c r="AD59" s="26"/>
      <x:c r="AE59" s="26"/>
      <x:c r="AF59" s="26"/>
      <x:c r="AG59" s="26"/>
      <x:c r="AH59" s="26"/>
      <x:c r="AI59" s="26"/>
      <x:c r="AJ59" s="26"/>
      <x:c r="AK59" s="26"/>
      <x:c r="AL59" s="26"/>
      <x:c r="AM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6"/>
      <x:c r="AG60" s="26"/>
      <x:c r="AH60" s="26"/>
      <x:c r="AI60" s="26"/>
      <x:c r="AJ60" s="26"/>
      <x:c r="AK60" s="26"/>
      <x:c r="AL60" s="26"/>
      <x:c r="AM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  <x:c r="AA61" s="26"/>
      <x:c r="AB61" s="26"/>
      <x:c r="AC61" s="26"/>
      <x:c r="AD61" s="26"/>
      <x:c r="AE61" s="26"/>
      <x:c r="AF61" s="26"/>
      <x:c r="AG61" s="26"/>
      <x:c r="AH61" s="26"/>
      <x:c r="AI61" s="26"/>
      <x:c r="AJ61" s="26"/>
      <x:c r="AK61" s="26"/>
      <x:c r="AL61" s="26"/>
      <x:c r="AM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  <x:c r="AA62" s="26"/>
      <x:c r="AB62" s="26"/>
      <x:c r="AC62" s="26"/>
      <x:c r="AD62" s="26"/>
      <x:c r="AE62" s="26"/>
      <x:c r="AF62" s="26"/>
      <x:c r="AG62" s="26"/>
      <x:c r="AH62" s="26"/>
      <x:c r="AI62" s="26"/>
      <x:c r="AJ62" s="26"/>
      <x:c r="AK62" s="26"/>
      <x:c r="AL62" s="26"/>
      <x:c r="AM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  <x:c r="AA63" s="26"/>
      <x:c r="AB63" s="26"/>
      <x:c r="AC63" s="26"/>
      <x:c r="AD63" s="26"/>
      <x:c r="AE63" s="26"/>
      <x:c r="AF63" s="26"/>
      <x:c r="AG63" s="26"/>
      <x:c r="AH63" s="26"/>
      <x:c r="AI63" s="26"/>
      <x:c r="AJ63" s="26"/>
      <x:c r="AK63" s="26"/>
      <x:c r="AL63" s="26"/>
      <x:c r="AM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  <x:c r="AA64" s="26"/>
      <x:c r="AB64" s="26"/>
      <x:c r="AC64" s="26"/>
      <x:c r="AD64" s="26"/>
      <x:c r="AE64" s="26"/>
      <x:c r="AF64" s="26"/>
      <x:c r="AG64" s="26"/>
      <x:c r="AH64" s="26"/>
      <x:c r="AI64" s="26"/>
      <x:c r="AJ64" s="26"/>
      <x:c r="AK64" s="26"/>
      <x:c r="AL64" s="26"/>
      <x:c r="AM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  <x:c r="AA65" s="26"/>
      <x:c r="AB65" s="26"/>
      <x:c r="AC65" s="26"/>
      <x:c r="AD65" s="26"/>
      <x:c r="AE65" s="26"/>
      <x:c r="AF65" s="26"/>
      <x:c r="AG65" s="26"/>
      <x:c r="AH65" s="26"/>
      <x:c r="AI65" s="26"/>
      <x:c r="AJ65" s="26"/>
      <x:c r="AK65" s="26"/>
      <x:c r="AL65" s="26"/>
      <x:c r="AM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  <x:c r="AA66" s="26"/>
      <x:c r="AB66" s="26"/>
      <x:c r="AC66" s="26"/>
      <x:c r="AD66" s="26"/>
      <x:c r="AE66" s="26"/>
      <x:c r="AF66" s="26"/>
      <x:c r="AG66" s="26"/>
      <x:c r="AH66" s="26"/>
      <x:c r="AI66" s="26"/>
      <x:c r="AJ66" s="26"/>
      <x:c r="AK66" s="26"/>
      <x:c r="AL66" s="26"/>
      <x:c r="AM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  <x:c r="AA67" s="26"/>
      <x:c r="AB67" s="26"/>
      <x:c r="AC67" s="26"/>
      <x:c r="AD67" s="26"/>
      <x:c r="AE67" s="26"/>
      <x:c r="AF67" s="26"/>
      <x:c r="AG67" s="26"/>
      <x:c r="AH67" s="26"/>
      <x:c r="AI67" s="26"/>
      <x:c r="AJ67" s="26"/>
      <x:c r="AK67" s="26"/>
      <x:c r="AL67" s="26"/>
      <x:c r="AM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  <x:c r="AA68" s="26"/>
      <x:c r="AB68" s="26"/>
      <x:c r="AC68" s="26"/>
      <x:c r="AD68" s="26"/>
      <x:c r="AE68" s="26"/>
      <x:c r="AF68" s="26"/>
      <x:c r="AG68" s="26"/>
      <x:c r="AH68" s="26"/>
      <x:c r="AI68" s="26"/>
      <x:c r="AJ68" s="26"/>
      <x:c r="AK68" s="26"/>
      <x:c r="AL68" s="26"/>
      <x:c r="AM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  <x:c r="AA69" s="26"/>
      <x:c r="AB69" s="26"/>
      <x:c r="AC69" s="26"/>
      <x:c r="AD69" s="26"/>
      <x:c r="AE69" s="26"/>
      <x:c r="AF69" s="26"/>
      <x:c r="AG69" s="26"/>
      <x:c r="AH69" s="26"/>
      <x:c r="AI69" s="26"/>
      <x:c r="AJ69" s="26"/>
      <x:c r="AK69" s="26"/>
      <x:c r="AL69" s="26"/>
      <x:c r="AM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  <x:c r="AA70" s="26"/>
      <x:c r="AB70" s="26"/>
      <x:c r="AC70" s="26"/>
      <x:c r="AD70" s="26"/>
      <x:c r="AE70" s="26"/>
      <x:c r="AF70" s="26"/>
      <x:c r="AG70" s="26"/>
      <x:c r="AH70" s="26"/>
      <x:c r="AI70" s="26"/>
      <x:c r="AJ70" s="26"/>
      <x:c r="AK70" s="26"/>
      <x:c r="AL70" s="26"/>
      <x:c r="AM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  <x:c r="AA71" s="26"/>
      <x:c r="AB71" s="26"/>
      <x:c r="AC71" s="26"/>
      <x:c r="AD71" s="26"/>
      <x:c r="AE71" s="26"/>
      <x:c r="AF71" s="26"/>
      <x:c r="AG71" s="26"/>
      <x:c r="AH71" s="26"/>
      <x:c r="AI71" s="26"/>
      <x:c r="AJ71" s="26"/>
      <x:c r="AK71" s="26"/>
      <x:c r="AL71" s="26"/>
      <x:c r="AM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  <x:c r="AA72" s="26"/>
      <x:c r="AB72" s="26"/>
      <x:c r="AC72" s="26"/>
      <x:c r="AD72" s="26"/>
      <x:c r="AE72" s="26"/>
      <x:c r="AF72" s="26"/>
      <x:c r="AG72" s="26"/>
      <x:c r="AH72" s="26"/>
      <x:c r="AI72" s="26"/>
      <x:c r="AJ72" s="26"/>
      <x:c r="AK72" s="26"/>
      <x:c r="AL72" s="26"/>
      <x:c r="AM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6"/>
      <x:c r="AG73" s="26"/>
      <x:c r="AH73" s="26"/>
      <x:c r="AI73" s="26"/>
      <x:c r="AJ73" s="26"/>
      <x:c r="AK73" s="26"/>
      <x:c r="AL73" s="26"/>
      <x:c r="AM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  <x:c r="AA74" s="26"/>
      <x:c r="AB74" s="26"/>
      <x:c r="AC74" s="26"/>
      <x:c r="AD74" s="26"/>
      <x:c r="AE74" s="26"/>
      <x:c r="AF74" s="26"/>
      <x:c r="AG74" s="26"/>
      <x:c r="AH74" s="26"/>
      <x:c r="AI74" s="26"/>
      <x:c r="AJ74" s="26"/>
      <x:c r="AK74" s="26"/>
      <x:c r="AL74" s="26"/>
      <x:c r="AM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  <x:c r="AA75" s="26"/>
      <x:c r="AB75" s="26"/>
      <x:c r="AC75" s="26"/>
      <x:c r="AD75" s="26"/>
      <x:c r="AE75" s="26"/>
      <x:c r="AF75" s="26"/>
      <x:c r="AG75" s="26"/>
      <x:c r="AH75" s="26"/>
      <x:c r="AI75" s="26"/>
      <x:c r="AJ75" s="26"/>
      <x:c r="AK75" s="26"/>
      <x:c r="AL75" s="26"/>
      <x:c r="AM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  <x:c r="AA76" s="26"/>
      <x:c r="AB76" s="26"/>
      <x:c r="AC76" s="26"/>
      <x:c r="AD76" s="26"/>
      <x:c r="AE76" s="26"/>
      <x:c r="AF76" s="26"/>
      <x:c r="AG76" s="26"/>
      <x:c r="AH76" s="26"/>
      <x:c r="AI76" s="26"/>
      <x:c r="AJ76" s="26"/>
      <x:c r="AK76" s="26"/>
      <x:c r="AL76" s="26"/>
      <x:c r="AM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  <x:c r="AA77" s="26"/>
      <x:c r="AB77" s="26"/>
      <x:c r="AC77" s="26"/>
      <x:c r="AD77" s="26"/>
      <x:c r="AE77" s="26"/>
      <x:c r="AF77" s="26"/>
      <x:c r="AG77" s="26"/>
      <x:c r="AH77" s="26"/>
      <x:c r="AI77" s="26"/>
      <x:c r="AJ77" s="26"/>
      <x:c r="AK77" s="26"/>
      <x:c r="AL77" s="26"/>
      <x:c r="AM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  <x:c r="AA78" s="26"/>
      <x:c r="AB78" s="26"/>
      <x:c r="AC78" s="26"/>
      <x:c r="AD78" s="26"/>
      <x:c r="AE78" s="26"/>
      <x:c r="AF78" s="26"/>
      <x:c r="AG78" s="26"/>
      <x:c r="AH78" s="26"/>
      <x:c r="AI78" s="26"/>
      <x:c r="AJ78" s="26"/>
      <x:c r="AK78" s="26"/>
      <x:c r="AL78" s="26"/>
      <x:c r="AM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  <x:c r="AA79" s="26"/>
      <x:c r="AB79" s="26"/>
      <x:c r="AC79" s="26"/>
      <x:c r="AD79" s="26"/>
      <x:c r="AE79" s="26"/>
      <x:c r="AF79" s="26"/>
      <x:c r="AG79" s="26"/>
      <x:c r="AH79" s="26"/>
      <x:c r="AI79" s="26"/>
      <x:c r="AJ79" s="26"/>
      <x:c r="AK79" s="26"/>
      <x:c r="AL79" s="26"/>
      <x:c r="AM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  <x:c r="AA80" s="26"/>
      <x:c r="AB80" s="26"/>
      <x:c r="AC80" s="26"/>
      <x:c r="AD80" s="26"/>
      <x:c r="AE80" s="26"/>
      <x:c r="AF80" s="26"/>
      <x:c r="AG80" s="26"/>
      <x:c r="AH80" s="26"/>
      <x:c r="AI80" s="26"/>
      <x:c r="AJ80" s="26"/>
      <x:c r="AK80" s="26"/>
      <x:c r="AL80" s="26"/>
      <x:c r="AM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  <x:c r="AA81" s="26"/>
      <x:c r="AB81" s="26"/>
      <x:c r="AC81" s="26"/>
      <x:c r="AD81" s="26"/>
      <x:c r="AE81" s="26"/>
      <x:c r="AF81" s="26"/>
      <x:c r="AG81" s="26"/>
      <x:c r="AH81" s="26"/>
      <x:c r="AI81" s="26"/>
      <x:c r="AJ81" s="26"/>
      <x:c r="AK81" s="26"/>
      <x:c r="AL81" s="26"/>
      <x:c r="AM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  <x:c r="AA82" s="26"/>
      <x:c r="AB82" s="26"/>
      <x:c r="AC82" s="26"/>
      <x:c r="AD82" s="26"/>
      <x:c r="AE82" s="26"/>
      <x:c r="AF82" s="26"/>
      <x:c r="AG82" s="26"/>
      <x:c r="AH82" s="26"/>
      <x:c r="AI82" s="26"/>
      <x:c r="AJ82" s="26"/>
      <x:c r="AK82" s="26"/>
      <x:c r="AL82" s="26"/>
      <x:c r="AM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  <x:c r="AA83" s="26"/>
      <x:c r="AB83" s="26"/>
      <x:c r="AC83" s="26"/>
      <x:c r="AD83" s="26"/>
      <x:c r="AE83" s="26"/>
      <x:c r="AF83" s="26"/>
      <x:c r="AG83" s="26"/>
      <x:c r="AH83" s="26"/>
      <x:c r="AI83" s="26"/>
      <x:c r="AJ83" s="26"/>
      <x:c r="AK83" s="26"/>
      <x:c r="AL83" s="26"/>
      <x:c r="AM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  <x:c r="AA84" s="26"/>
      <x:c r="AB84" s="26"/>
      <x:c r="AC84" s="26"/>
      <x:c r="AD84" s="26"/>
      <x:c r="AE84" s="26"/>
      <x:c r="AF84" s="26"/>
      <x:c r="AG84" s="26"/>
      <x:c r="AH84" s="26"/>
      <x:c r="AI84" s="26"/>
      <x:c r="AJ84" s="26"/>
      <x:c r="AK84" s="26"/>
      <x:c r="AL84" s="26"/>
      <x:c r="AM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  <x:c r="AA85" s="26"/>
      <x:c r="AB85" s="26"/>
      <x:c r="AC85" s="26"/>
      <x:c r="AD85" s="26"/>
      <x:c r="AE85" s="26"/>
      <x:c r="AF85" s="26"/>
      <x:c r="AG85" s="26"/>
      <x:c r="AH85" s="26"/>
      <x:c r="AI85" s="26"/>
      <x:c r="AJ85" s="26"/>
      <x:c r="AK85" s="26"/>
      <x:c r="AL85" s="26"/>
      <x:c r="AM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6"/>
      <x:c r="AG86" s="26"/>
      <x:c r="AH86" s="26"/>
      <x:c r="AI86" s="26"/>
      <x:c r="AJ86" s="26"/>
      <x:c r="AK86" s="26"/>
      <x:c r="AL86" s="26"/>
      <x:c r="AM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  <x:c r="AA87" s="26"/>
      <x:c r="AB87" s="26"/>
      <x:c r="AC87" s="26"/>
      <x:c r="AD87" s="26"/>
      <x:c r="AE87" s="26"/>
      <x:c r="AF87" s="26"/>
      <x:c r="AG87" s="26"/>
      <x:c r="AH87" s="26"/>
      <x:c r="AI87" s="26"/>
      <x:c r="AJ87" s="26"/>
      <x:c r="AK87" s="26"/>
      <x:c r="AL87" s="26"/>
      <x:c r="AM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  <x:c r="AA88" s="26"/>
      <x:c r="AB88" s="26"/>
      <x:c r="AC88" s="26"/>
      <x:c r="AD88" s="26"/>
      <x:c r="AE88" s="26"/>
      <x:c r="AF88" s="26"/>
      <x:c r="AG88" s="26"/>
      <x:c r="AH88" s="26"/>
      <x:c r="AI88" s="26"/>
      <x:c r="AJ88" s="26"/>
      <x:c r="AK88" s="26"/>
      <x:c r="AL88" s="26"/>
      <x:c r="AM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  <x:c r="AA89" s="26"/>
      <x:c r="AB89" s="26"/>
      <x:c r="AC89" s="26"/>
      <x:c r="AD89" s="26"/>
      <x:c r="AE89" s="26"/>
      <x:c r="AF89" s="26"/>
      <x:c r="AG89" s="26"/>
      <x:c r="AH89" s="26"/>
      <x:c r="AI89" s="26"/>
      <x:c r="AJ89" s="26"/>
      <x:c r="AK89" s="26"/>
      <x:c r="AL89" s="26"/>
      <x:c r="AM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  <x:c r="AA90" s="26"/>
      <x:c r="AB90" s="26"/>
      <x:c r="AC90" s="26"/>
      <x:c r="AD90" s="26"/>
      <x:c r="AE90" s="26"/>
      <x:c r="AF90" s="26"/>
      <x:c r="AG90" s="26"/>
      <x:c r="AH90" s="26"/>
      <x:c r="AI90" s="26"/>
      <x:c r="AJ90" s="26"/>
      <x:c r="AK90" s="26"/>
      <x:c r="AL90" s="26"/>
      <x:c r="AM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  <x:c r="AA91" s="26"/>
      <x:c r="AB91" s="26"/>
      <x:c r="AC91" s="26"/>
      <x:c r="AD91" s="26"/>
      <x:c r="AE91" s="26"/>
      <x:c r="AF91" s="26"/>
      <x:c r="AG91" s="26"/>
      <x:c r="AH91" s="26"/>
      <x:c r="AI91" s="26"/>
      <x:c r="AJ91" s="26"/>
      <x:c r="AK91" s="26"/>
      <x:c r="AL91" s="26"/>
      <x:c r="AM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  <x:c r="AA92" s="26"/>
      <x:c r="AB92" s="26"/>
      <x:c r="AC92" s="26"/>
      <x:c r="AD92" s="26"/>
      <x:c r="AE92" s="26"/>
      <x:c r="AF92" s="26"/>
      <x:c r="AG92" s="26"/>
      <x:c r="AH92" s="26"/>
      <x:c r="AI92" s="26"/>
      <x:c r="AJ92" s="26"/>
      <x:c r="AK92" s="26"/>
      <x:c r="AL92" s="26"/>
      <x:c r="AM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  <x:c r="AA93" s="26"/>
      <x:c r="AB93" s="26"/>
      <x:c r="AC93" s="26"/>
      <x:c r="AD93" s="26"/>
      <x:c r="AE93" s="26"/>
      <x:c r="AF93" s="26"/>
      <x:c r="AG93" s="26"/>
      <x:c r="AH93" s="26"/>
      <x:c r="AI93" s="26"/>
      <x:c r="AJ93" s="26"/>
      <x:c r="AK93" s="26"/>
      <x:c r="AL93" s="26"/>
      <x:c r="AM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  <x:c r="AA94" s="26"/>
      <x:c r="AB94" s="26"/>
      <x:c r="AC94" s="26"/>
      <x:c r="AD94" s="26"/>
      <x:c r="AE94" s="26"/>
      <x:c r="AF94" s="26"/>
      <x:c r="AG94" s="26"/>
      <x:c r="AH94" s="26"/>
      <x:c r="AI94" s="26"/>
      <x:c r="AJ94" s="26"/>
      <x:c r="AK94" s="26"/>
      <x:c r="AL94" s="26"/>
      <x:c r="AM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  <x:c r="AA95" s="26"/>
      <x:c r="AB95" s="26"/>
      <x:c r="AC95" s="26"/>
      <x:c r="AD95" s="26"/>
      <x:c r="AE95" s="26"/>
      <x:c r="AF95" s="26"/>
      <x:c r="AG95" s="26"/>
      <x:c r="AH95" s="26"/>
      <x:c r="AI95" s="26"/>
      <x:c r="AJ95" s="26"/>
      <x:c r="AK95" s="26"/>
      <x:c r="AL95" s="26"/>
      <x:c r="AM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  <x:c r="AA96" s="26"/>
      <x:c r="AB96" s="26"/>
      <x:c r="AC96" s="26"/>
      <x:c r="AD96" s="26"/>
      <x:c r="AE96" s="26"/>
      <x:c r="AF96" s="26"/>
      <x:c r="AG96" s="26"/>
      <x:c r="AH96" s="26"/>
      <x:c r="AI96" s="26"/>
      <x:c r="AJ96" s="26"/>
      <x:c r="AK96" s="26"/>
      <x:c r="AL96" s="26"/>
      <x:c r="AM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  <x:c r="AA97" s="26"/>
      <x:c r="AB97" s="26"/>
      <x:c r="AC97" s="26"/>
      <x:c r="AD97" s="26"/>
      <x:c r="AE97" s="26"/>
      <x:c r="AF97" s="26"/>
      <x:c r="AG97" s="26"/>
      <x:c r="AH97" s="26"/>
      <x:c r="AI97" s="26"/>
      <x:c r="AJ97" s="26"/>
      <x:c r="AK97" s="26"/>
      <x:c r="AL97" s="26"/>
      <x:c r="AM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  <x:c r="AA98" s="26"/>
      <x:c r="AB98" s="26"/>
      <x:c r="AC98" s="26"/>
      <x:c r="AD98" s="26"/>
      <x:c r="AE98" s="26"/>
      <x:c r="AF98" s="26"/>
      <x:c r="AG98" s="26"/>
      <x:c r="AH98" s="26"/>
      <x:c r="AI98" s="26"/>
      <x:c r="AJ98" s="26"/>
      <x:c r="AK98" s="26"/>
      <x:c r="AL98" s="26"/>
      <x:c r="AM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6"/>
      <x:c r="AG99" s="26"/>
      <x:c r="AH99" s="26"/>
      <x:c r="AI99" s="26"/>
      <x:c r="AJ99" s="26"/>
      <x:c r="AK99" s="26"/>
      <x:c r="AL99" s="26"/>
      <x:c r="AM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  <x:c r="AA100" s="26"/>
      <x:c r="AB100" s="26"/>
      <x:c r="AC100" s="26"/>
      <x:c r="AD100" s="26"/>
      <x:c r="AE100" s="26"/>
      <x:c r="AF100" s="26"/>
      <x:c r="AG100" s="26"/>
      <x:c r="AH100" s="26"/>
      <x:c r="AI100" s="26"/>
      <x:c r="AJ100" s="26"/>
      <x:c r="AK100" s="26"/>
      <x:c r="AL100" s="26"/>
      <x:c r="AM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  <x:c r="AA101" s="26"/>
      <x:c r="AB101" s="26"/>
      <x:c r="AC101" s="26"/>
      <x:c r="AD101" s="26"/>
      <x:c r="AE101" s="26"/>
      <x:c r="AF101" s="26"/>
      <x:c r="AG101" s="26"/>
      <x:c r="AH101" s="26"/>
      <x:c r="AI101" s="26"/>
      <x:c r="AJ101" s="26"/>
      <x:c r="AK101" s="26"/>
      <x:c r="AL101" s="26"/>
      <x:c r="AM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  <x:c r="AA102" s="26"/>
      <x:c r="AB102" s="26"/>
      <x:c r="AC102" s="26"/>
      <x:c r="AD102" s="26"/>
      <x:c r="AE102" s="26"/>
      <x:c r="AF102" s="26"/>
      <x:c r="AG102" s="26"/>
      <x:c r="AH102" s="26"/>
      <x:c r="AI102" s="26"/>
      <x:c r="AJ102" s="26"/>
      <x:c r="AK102" s="26"/>
      <x:c r="AL102" s="26"/>
      <x:c r="AM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  <x:c r="AA103" s="26"/>
      <x:c r="AB103" s="26"/>
      <x:c r="AC103" s="26"/>
      <x:c r="AD103" s="26"/>
      <x:c r="AE103" s="26"/>
      <x:c r="AF103" s="26"/>
      <x:c r="AG103" s="26"/>
      <x:c r="AH103" s="26"/>
      <x:c r="AI103" s="26"/>
      <x:c r="AJ103" s="26"/>
      <x:c r="AK103" s="26"/>
      <x:c r="AL103" s="26"/>
      <x:c r="AM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  <x:c r="AA104" s="26"/>
      <x:c r="AB104" s="26"/>
      <x:c r="AC104" s="26"/>
      <x:c r="AD104" s="26"/>
      <x:c r="AE104" s="26"/>
      <x:c r="AF104" s="26"/>
      <x:c r="AG104" s="26"/>
      <x:c r="AH104" s="26"/>
      <x:c r="AI104" s="26"/>
      <x:c r="AJ104" s="26"/>
      <x:c r="AK104" s="26"/>
      <x:c r="AL104" s="26"/>
      <x:c r="AM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  <x:c r="AA105" s="26"/>
      <x:c r="AB105" s="26"/>
      <x:c r="AC105" s="26"/>
      <x:c r="AD105" s="26"/>
      <x:c r="AE105" s="26"/>
      <x:c r="AF105" s="26"/>
      <x:c r="AG105" s="26"/>
      <x:c r="AH105" s="26"/>
      <x:c r="AI105" s="26"/>
      <x:c r="AJ105" s="26"/>
      <x:c r="AK105" s="26"/>
      <x:c r="AL105" s="26"/>
      <x:c r="AM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  <x:c r="AA106" s="26"/>
      <x:c r="AB106" s="26"/>
      <x:c r="AC106" s="26"/>
      <x:c r="AD106" s="26"/>
      <x:c r="AE106" s="26"/>
      <x:c r="AF106" s="26"/>
      <x:c r="AG106" s="26"/>
      <x:c r="AH106" s="26"/>
      <x:c r="AI106" s="26"/>
      <x:c r="AJ106" s="26"/>
      <x:c r="AK106" s="26"/>
      <x:c r="AL106" s="26"/>
      <x:c r="AM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  <x:c r="AA107" s="26"/>
      <x:c r="AB107" s="26"/>
      <x:c r="AC107" s="26"/>
      <x:c r="AD107" s="26"/>
      <x:c r="AE107" s="26"/>
      <x:c r="AF107" s="26"/>
      <x:c r="AG107" s="26"/>
      <x:c r="AH107" s="26"/>
      <x:c r="AI107" s="26"/>
      <x:c r="AJ107" s="26"/>
      <x:c r="AK107" s="26"/>
      <x:c r="AL107" s="26"/>
      <x:c r="AM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  <x:c r="AA108" s="26"/>
      <x:c r="AB108" s="26"/>
      <x:c r="AC108" s="26"/>
      <x:c r="AD108" s="26"/>
      <x:c r="AE108" s="26"/>
      <x:c r="AF108" s="26"/>
      <x:c r="AG108" s="26"/>
      <x:c r="AH108" s="26"/>
      <x:c r="AI108" s="26"/>
      <x:c r="AJ108" s="26"/>
      <x:c r="AK108" s="26"/>
      <x:c r="AL108" s="26"/>
      <x:c r="AM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  <x:c r="AA109" s="26"/>
      <x:c r="AB109" s="26"/>
      <x:c r="AC109" s="26"/>
      <x:c r="AD109" s="26"/>
      <x:c r="AE109" s="26"/>
      <x:c r="AF109" s="26"/>
      <x:c r="AG109" s="26"/>
      <x:c r="AH109" s="26"/>
      <x:c r="AI109" s="26"/>
      <x:c r="AJ109" s="26"/>
      <x:c r="AK109" s="26"/>
      <x:c r="AL109" s="26"/>
      <x:c r="AM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  <x:c r="AA110" s="26"/>
      <x:c r="AB110" s="26"/>
      <x:c r="AC110" s="26"/>
      <x:c r="AD110" s="26"/>
      <x:c r="AE110" s="26"/>
      <x:c r="AF110" s="26"/>
      <x:c r="AG110" s="26"/>
      <x:c r="AH110" s="26"/>
      <x:c r="AI110" s="26"/>
      <x:c r="AJ110" s="26"/>
      <x:c r="AK110" s="26"/>
      <x:c r="AL110" s="26"/>
      <x:c r="AM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  <x:c r="AA111" s="26"/>
      <x:c r="AB111" s="26"/>
      <x:c r="AC111" s="26"/>
      <x:c r="AD111" s="26"/>
      <x:c r="AE111" s="26"/>
      <x:c r="AF111" s="26"/>
      <x:c r="AG111" s="26"/>
      <x:c r="AH111" s="26"/>
      <x:c r="AI111" s="26"/>
      <x:c r="AJ111" s="26"/>
      <x:c r="AK111" s="26"/>
      <x:c r="AL111" s="26"/>
      <x:c r="AM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  <x:c r="AA112" s="26"/>
      <x:c r="AB112" s="26"/>
      <x:c r="AC112" s="26"/>
      <x:c r="AD112" s="26"/>
      <x:c r="AE112" s="26"/>
      <x:c r="AF112" s="26"/>
      <x:c r="AG112" s="26"/>
      <x:c r="AH112" s="26"/>
      <x:c r="AI112" s="26"/>
      <x:c r="AJ112" s="26"/>
      <x:c r="AK112" s="26"/>
      <x:c r="AL112" s="26"/>
      <x:c r="AM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  <x:c r="AA113" s="26"/>
      <x:c r="AB113" s="26"/>
      <x:c r="AC113" s="26"/>
      <x:c r="AD113" s="26"/>
      <x:c r="AE113" s="26"/>
      <x:c r="AF113" s="26"/>
      <x:c r="AG113" s="26"/>
      <x:c r="AH113" s="26"/>
      <x:c r="AI113" s="26"/>
      <x:c r="AJ113" s="26"/>
      <x:c r="AK113" s="26"/>
      <x:c r="AL113" s="26"/>
      <x:c r="AM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  <x:c r="AA114" s="26"/>
      <x:c r="AB114" s="26"/>
      <x:c r="AC114" s="26"/>
      <x:c r="AD114" s="26"/>
      <x:c r="AE114" s="26"/>
      <x:c r="AF114" s="26"/>
      <x:c r="AG114" s="26"/>
      <x:c r="AH114" s="26"/>
      <x:c r="AI114" s="26"/>
      <x:c r="AJ114" s="26"/>
      <x:c r="AK114" s="26"/>
      <x:c r="AL114" s="26"/>
      <x:c r="AM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  <x:c r="AA115" s="26"/>
      <x:c r="AB115" s="26"/>
      <x:c r="AC115" s="26"/>
      <x:c r="AD115" s="26"/>
      <x:c r="AE115" s="26"/>
      <x:c r="AF115" s="26"/>
      <x:c r="AG115" s="26"/>
      <x:c r="AH115" s="26"/>
      <x:c r="AI115" s="26"/>
      <x:c r="AJ115" s="26"/>
      <x:c r="AK115" s="26"/>
      <x:c r="AL115" s="26"/>
      <x:c r="AM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  <x:c r="AA116" s="26"/>
      <x:c r="AB116" s="26"/>
      <x:c r="AC116" s="26"/>
      <x:c r="AD116" s="26"/>
      <x:c r="AE116" s="26"/>
      <x:c r="AF116" s="26"/>
      <x:c r="AG116" s="26"/>
      <x:c r="AH116" s="26"/>
      <x:c r="AI116" s="26"/>
      <x:c r="AJ116" s="26"/>
      <x:c r="AK116" s="26"/>
      <x:c r="AL116" s="26"/>
      <x:c r="AM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  <x:c r="AA117" s="26"/>
      <x:c r="AB117" s="26"/>
      <x:c r="AC117" s="26"/>
      <x:c r="AD117" s="26"/>
      <x:c r="AE117" s="26"/>
      <x:c r="AF117" s="26"/>
      <x:c r="AG117" s="26"/>
      <x:c r="AH117" s="26"/>
      <x:c r="AI117" s="26"/>
      <x:c r="AJ117" s="26"/>
      <x:c r="AK117" s="26"/>
      <x:c r="AL117" s="26"/>
      <x:c r="AM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  <x:c r="AA118" s="26"/>
      <x:c r="AB118" s="26"/>
      <x:c r="AC118" s="26"/>
      <x:c r="AD118" s="26"/>
      <x:c r="AE118" s="26"/>
      <x:c r="AF118" s="26"/>
      <x:c r="AG118" s="26"/>
      <x:c r="AH118" s="26"/>
      <x:c r="AI118" s="26"/>
      <x:c r="AJ118" s="26"/>
      <x:c r="AK118" s="26"/>
      <x:c r="AL118" s="26"/>
      <x:c r="AM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  <x:c r="AA119" s="26"/>
      <x:c r="AB119" s="26"/>
      <x:c r="AC119" s="26"/>
      <x:c r="AD119" s="26"/>
      <x:c r="AE119" s="26"/>
      <x:c r="AF119" s="26"/>
      <x:c r="AG119" s="26"/>
      <x:c r="AH119" s="26"/>
      <x:c r="AI119" s="26"/>
      <x:c r="AJ119" s="26"/>
      <x:c r="AK119" s="26"/>
      <x:c r="AL119" s="26"/>
      <x:c r="AM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  <x:c r="AA120" s="26"/>
      <x:c r="AB120" s="26"/>
      <x:c r="AC120" s="26"/>
      <x:c r="AD120" s="26"/>
      <x:c r="AE120" s="26"/>
      <x:c r="AF120" s="26"/>
      <x:c r="AG120" s="26"/>
      <x:c r="AH120" s="26"/>
      <x:c r="AI120" s="26"/>
      <x:c r="AJ120" s="26"/>
      <x:c r="AK120" s="26"/>
      <x:c r="AL120" s="26"/>
      <x:c r="AM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  <x:c r="AA121" s="26"/>
      <x:c r="AB121" s="26"/>
      <x:c r="AC121" s="26"/>
      <x:c r="AD121" s="26"/>
      <x:c r="AE121" s="26"/>
      <x:c r="AF121" s="26"/>
      <x:c r="AG121" s="26"/>
      <x:c r="AH121" s="26"/>
      <x:c r="AI121" s="26"/>
      <x:c r="AJ121" s="26"/>
      <x:c r="AK121" s="26"/>
      <x:c r="AL121" s="26"/>
      <x:c r="AM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  <x:c r="AA122" s="26"/>
      <x:c r="AB122" s="26"/>
      <x:c r="AC122" s="26"/>
      <x:c r="AD122" s="26"/>
      <x:c r="AE122" s="26"/>
      <x:c r="AF122" s="26"/>
      <x:c r="AG122" s="26"/>
      <x:c r="AH122" s="26"/>
      <x:c r="AI122" s="26"/>
      <x:c r="AJ122" s="26"/>
      <x:c r="AK122" s="26"/>
      <x:c r="AL122" s="26"/>
      <x:c r="AM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  <x:c r="AA123" s="26"/>
      <x:c r="AB123" s="26"/>
      <x:c r="AC123" s="26"/>
      <x:c r="AD123" s="26"/>
      <x:c r="AE123" s="26"/>
      <x:c r="AF123" s="26"/>
      <x:c r="AG123" s="26"/>
      <x:c r="AH123" s="26"/>
      <x:c r="AI123" s="26"/>
      <x:c r="AJ123" s="26"/>
      <x:c r="AK123" s="26"/>
      <x:c r="AL123" s="26"/>
      <x:c r="AM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  <x:c r="AA124" s="26"/>
      <x:c r="AB124" s="26"/>
      <x:c r="AC124" s="26"/>
      <x:c r="AD124" s="26"/>
      <x:c r="AE124" s="26"/>
      <x:c r="AF124" s="26"/>
      <x:c r="AG124" s="26"/>
      <x:c r="AH124" s="26"/>
      <x:c r="AI124" s="26"/>
      <x:c r="AJ124" s="26"/>
      <x:c r="AK124" s="26"/>
      <x:c r="AL124" s="26"/>
      <x:c r="AM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  <x:c r="AA125" s="26"/>
      <x:c r="AB125" s="26"/>
      <x:c r="AC125" s="26"/>
      <x:c r="AD125" s="26"/>
      <x:c r="AE125" s="26"/>
      <x:c r="AF125" s="26"/>
      <x:c r="AG125" s="26"/>
      <x:c r="AH125" s="26"/>
      <x:c r="AI125" s="26"/>
      <x:c r="AJ125" s="26"/>
      <x:c r="AK125" s="26"/>
      <x:c r="AL125" s="26"/>
      <x:c r="AM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  <x:c r="AA126" s="26"/>
      <x:c r="AB126" s="26"/>
      <x:c r="AC126" s="26"/>
      <x:c r="AD126" s="26"/>
      <x:c r="AE126" s="26"/>
      <x:c r="AF126" s="26"/>
      <x:c r="AG126" s="26"/>
      <x:c r="AH126" s="26"/>
      <x:c r="AI126" s="26"/>
      <x:c r="AJ126" s="26"/>
      <x:c r="AK126" s="26"/>
      <x:c r="AL126" s="26"/>
      <x:c r="AM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  <x:c r="AA127" s="26"/>
      <x:c r="AB127" s="26"/>
      <x:c r="AC127" s="26"/>
      <x:c r="AD127" s="26"/>
      <x:c r="AE127" s="26"/>
      <x:c r="AF127" s="26"/>
      <x:c r="AG127" s="26"/>
      <x:c r="AH127" s="26"/>
      <x:c r="AI127" s="26"/>
      <x:c r="AJ127" s="26"/>
      <x:c r="AK127" s="26"/>
      <x:c r="AL127" s="26"/>
      <x:c r="AM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  <x:c r="AA128" s="26"/>
      <x:c r="AB128" s="26"/>
      <x:c r="AC128" s="26"/>
      <x:c r="AD128" s="26"/>
      <x:c r="AE128" s="26"/>
      <x:c r="AF128" s="26"/>
      <x:c r="AG128" s="26"/>
      <x:c r="AH128" s="26"/>
      <x:c r="AI128" s="26"/>
      <x:c r="AJ128" s="26"/>
      <x:c r="AK128" s="26"/>
      <x:c r="AL128" s="26"/>
      <x:c r="AM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  <x:c r="AA129" s="26"/>
      <x:c r="AB129" s="26"/>
      <x:c r="AC129" s="26"/>
      <x:c r="AD129" s="26"/>
      <x:c r="AE129" s="26"/>
      <x:c r="AF129" s="26"/>
      <x:c r="AG129" s="26"/>
      <x:c r="AH129" s="26"/>
      <x:c r="AI129" s="26"/>
      <x:c r="AJ129" s="26"/>
      <x:c r="AK129" s="26"/>
      <x:c r="AL129" s="26"/>
      <x:c r="AM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  <x:c r="AA130" s="26"/>
      <x:c r="AB130" s="26"/>
      <x:c r="AC130" s="26"/>
      <x:c r="AD130" s="26"/>
      <x:c r="AE130" s="26"/>
      <x:c r="AF130" s="26"/>
      <x:c r="AG130" s="26"/>
      <x:c r="AH130" s="26"/>
      <x:c r="AI130" s="26"/>
      <x:c r="AJ130" s="26"/>
      <x:c r="AK130" s="26"/>
      <x:c r="AL130" s="26"/>
      <x:c r="AM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  <x:c r="AA131" s="26"/>
      <x:c r="AB131" s="26"/>
      <x:c r="AC131" s="26"/>
      <x:c r="AD131" s="26"/>
      <x:c r="AE131" s="26"/>
      <x:c r="AF131" s="26"/>
      <x:c r="AG131" s="26"/>
      <x:c r="AH131" s="26"/>
      <x:c r="AI131" s="26"/>
      <x:c r="AJ131" s="26"/>
      <x:c r="AK131" s="26"/>
      <x:c r="AL131" s="26"/>
      <x:c r="AM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  <x:c r="AA132" s="26"/>
      <x:c r="AB132" s="26"/>
      <x:c r="AC132" s="26"/>
      <x:c r="AD132" s="26"/>
      <x:c r="AE132" s="26"/>
      <x:c r="AF132" s="26"/>
      <x:c r="AG132" s="26"/>
      <x:c r="AH132" s="26"/>
      <x:c r="AI132" s="26"/>
      <x:c r="AJ132" s="26"/>
      <x:c r="AK132" s="26"/>
      <x:c r="AL132" s="26"/>
      <x:c r="AM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  <x:c r="AA133" s="26"/>
      <x:c r="AB133" s="26"/>
      <x:c r="AC133" s="26"/>
      <x:c r="AD133" s="26"/>
      <x:c r="AE133" s="26"/>
      <x:c r="AF133" s="26"/>
      <x:c r="AG133" s="26"/>
      <x:c r="AH133" s="26"/>
      <x:c r="AI133" s="26"/>
      <x:c r="AJ133" s="26"/>
      <x:c r="AK133" s="26"/>
      <x:c r="AL133" s="26"/>
      <x:c r="AM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  <x:c r="AA134" s="26"/>
      <x:c r="AB134" s="26"/>
      <x:c r="AC134" s="26"/>
      <x:c r="AD134" s="26"/>
      <x:c r="AE134" s="26"/>
      <x:c r="AF134" s="26"/>
      <x:c r="AG134" s="26"/>
      <x:c r="AH134" s="26"/>
      <x:c r="AI134" s="26"/>
      <x:c r="AJ134" s="26"/>
      <x:c r="AK134" s="26"/>
      <x:c r="AL134" s="26"/>
      <x:c r="AM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  <x:c r="AA135" s="26"/>
      <x:c r="AB135" s="26"/>
      <x:c r="AC135" s="26"/>
      <x:c r="AD135" s="26"/>
      <x:c r="AE135" s="26"/>
      <x:c r="AF135" s="26"/>
      <x:c r="AG135" s="26"/>
      <x:c r="AH135" s="26"/>
      <x:c r="AI135" s="26"/>
      <x:c r="AJ135" s="26"/>
      <x:c r="AK135" s="26"/>
      <x:c r="AL135" s="26"/>
      <x:c r="AM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  <x:c r="AA136" s="26"/>
      <x:c r="AB136" s="26"/>
      <x:c r="AC136" s="26"/>
      <x:c r="AD136" s="26"/>
      <x:c r="AE136" s="26"/>
      <x:c r="AF136" s="26"/>
      <x:c r="AG136" s="26"/>
      <x:c r="AH136" s="26"/>
      <x:c r="AI136" s="26"/>
      <x:c r="AJ136" s="26"/>
      <x:c r="AK136" s="26"/>
      <x:c r="AL136" s="26"/>
      <x:c r="AM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  <x:c r="AA137" s="26"/>
      <x:c r="AB137" s="26"/>
      <x:c r="AC137" s="26"/>
      <x:c r="AD137" s="26"/>
      <x:c r="AE137" s="26"/>
      <x:c r="AF137" s="26"/>
      <x:c r="AG137" s="26"/>
      <x:c r="AH137" s="26"/>
      <x:c r="AI137" s="26"/>
      <x:c r="AJ137" s="26"/>
      <x:c r="AK137" s="26"/>
      <x:c r="AL137" s="26"/>
      <x:c r="AM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  <x:c r="AA138" s="26"/>
      <x:c r="AB138" s="26"/>
      <x:c r="AC138" s="26"/>
      <x:c r="AD138" s="26"/>
      <x:c r="AE138" s="26"/>
      <x:c r="AF138" s="26"/>
      <x:c r="AG138" s="26"/>
      <x:c r="AH138" s="26"/>
      <x:c r="AI138" s="26"/>
      <x:c r="AJ138" s="26"/>
      <x:c r="AK138" s="26"/>
      <x:c r="AL138" s="26"/>
      <x:c r="AM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  <x:c r="AA139" s="26"/>
      <x:c r="AB139" s="26"/>
      <x:c r="AC139" s="26"/>
      <x:c r="AD139" s="26"/>
      <x:c r="AE139" s="26"/>
      <x:c r="AF139" s="26"/>
      <x:c r="AG139" s="26"/>
      <x:c r="AH139" s="26"/>
      <x:c r="AI139" s="26"/>
      <x:c r="AJ139" s="26"/>
      <x:c r="AK139" s="26"/>
      <x:c r="AL139" s="26"/>
      <x:c r="AM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  <x:c r="AA140" s="26"/>
      <x:c r="AB140" s="26"/>
      <x:c r="AC140" s="26"/>
      <x:c r="AD140" s="26"/>
      <x:c r="AE140" s="26"/>
      <x:c r="AF140" s="26"/>
      <x:c r="AG140" s="26"/>
      <x:c r="AH140" s="26"/>
      <x:c r="AI140" s="26"/>
      <x:c r="AJ140" s="26"/>
      <x:c r="AK140" s="26"/>
      <x:c r="AL140" s="26"/>
      <x:c r="AM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  <x:c r="AA141" s="26"/>
      <x:c r="AB141" s="26"/>
      <x:c r="AC141" s="26"/>
      <x:c r="AD141" s="26"/>
      <x:c r="AE141" s="26"/>
      <x:c r="AF141" s="26"/>
      <x:c r="AG141" s="26"/>
      <x:c r="AH141" s="26"/>
      <x:c r="AI141" s="26"/>
      <x:c r="AJ141" s="26"/>
      <x:c r="AK141" s="26"/>
      <x:c r="AL141" s="26"/>
      <x:c r="AM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  <x:c r="AA142" s="26"/>
      <x:c r="AB142" s="26"/>
      <x:c r="AC142" s="26"/>
      <x:c r="AD142" s="26"/>
      <x:c r="AE142" s="26"/>
      <x:c r="AF142" s="26"/>
      <x:c r="AG142" s="26"/>
      <x:c r="AH142" s="26"/>
      <x:c r="AI142" s="26"/>
      <x:c r="AJ142" s="26"/>
      <x:c r="AK142" s="26"/>
      <x:c r="AL142" s="26"/>
      <x:c r="AM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  <x:c r="AA143" s="26"/>
      <x:c r="AB143" s="26"/>
      <x:c r="AC143" s="26"/>
      <x:c r="AD143" s="26"/>
      <x:c r="AE143" s="26"/>
      <x:c r="AF143" s="26"/>
      <x:c r="AG143" s="26"/>
      <x:c r="AH143" s="26"/>
      <x:c r="AI143" s="26"/>
      <x:c r="AJ143" s="26"/>
      <x:c r="AK143" s="26"/>
      <x:c r="AL143" s="26"/>
      <x:c r="AM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  <x:c r="AA144" s="26"/>
      <x:c r="AB144" s="26"/>
      <x:c r="AC144" s="26"/>
      <x:c r="AD144" s="26"/>
      <x:c r="AE144" s="26"/>
      <x:c r="AF144" s="26"/>
      <x:c r="AG144" s="26"/>
      <x:c r="AH144" s="26"/>
      <x:c r="AI144" s="26"/>
      <x:c r="AJ144" s="26"/>
      <x:c r="AK144" s="26"/>
      <x:c r="AL144" s="26"/>
      <x:c r="AM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  <x:c r="AA145" s="26"/>
      <x:c r="AB145" s="26"/>
      <x:c r="AC145" s="26"/>
      <x:c r="AD145" s="26"/>
      <x:c r="AE145" s="26"/>
      <x:c r="AF145" s="26"/>
      <x:c r="AG145" s="26"/>
      <x:c r="AH145" s="26"/>
      <x:c r="AI145" s="26"/>
      <x:c r="AJ145" s="26"/>
      <x:c r="AK145" s="26"/>
      <x:c r="AL145" s="26"/>
      <x:c r="AM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  <x:c r="AA146" s="26"/>
      <x:c r="AB146" s="26"/>
      <x:c r="AC146" s="26"/>
      <x:c r="AD146" s="26"/>
      <x:c r="AE146" s="26"/>
      <x:c r="AF146" s="26"/>
      <x:c r="AG146" s="26"/>
      <x:c r="AH146" s="26"/>
      <x:c r="AI146" s="26"/>
      <x:c r="AJ146" s="26"/>
      <x:c r="AK146" s="26"/>
      <x:c r="AL146" s="26"/>
      <x:c r="AM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  <x:c r="AA147" s="26"/>
      <x:c r="AB147" s="26"/>
      <x:c r="AC147" s="26"/>
      <x:c r="AD147" s="26"/>
      <x:c r="AE147" s="26"/>
      <x:c r="AF147" s="26"/>
      <x:c r="AG147" s="26"/>
      <x:c r="AH147" s="26"/>
      <x:c r="AI147" s="26"/>
      <x:c r="AJ147" s="26"/>
      <x:c r="AK147" s="26"/>
      <x:c r="AL147" s="26"/>
      <x:c r="AM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  <x:c r="AA148" s="26"/>
      <x:c r="AB148" s="26"/>
      <x:c r="AC148" s="26"/>
      <x:c r="AD148" s="26"/>
      <x:c r="AE148" s="26"/>
      <x:c r="AF148" s="26"/>
      <x:c r="AG148" s="26"/>
      <x:c r="AH148" s="26"/>
      <x:c r="AI148" s="26"/>
      <x:c r="AJ148" s="26"/>
      <x:c r="AK148" s="26"/>
      <x:c r="AL148" s="26"/>
      <x:c r="AM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  <x:c r="AA149" s="26"/>
      <x:c r="AB149" s="26"/>
      <x:c r="AC149" s="26"/>
      <x:c r="AD149" s="26"/>
      <x:c r="AE149" s="26"/>
      <x:c r="AF149" s="26"/>
      <x:c r="AG149" s="26"/>
      <x:c r="AH149" s="26"/>
      <x:c r="AI149" s="26"/>
      <x:c r="AJ149" s="26"/>
      <x:c r="AK149" s="26"/>
      <x:c r="AL149" s="26"/>
      <x:c r="AM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  <x:c r="AA150" s="26"/>
      <x:c r="AB150" s="26"/>
      <x:c r="AC150" s="26"/>
      <x:c r="AD150" s="26"/>
      <x:c r="AE150" s="26"/>
      <x:c r="AF150" s="26"/>
      <x:c r="AG150" s="26"/>
      <x:c r="AH150" s="26"/>
      <x:c r="AI150" s="26"/>
      <x:c r="AJ150" s="26"/>
      <x:c r="AK150" s="26"/>
      <x:c r="AL150" s="26"/>
      <x:c r="AM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  <x:c r="AA151" s="26"/>
      <x:c r="AB151" s="26"/>
      <x:c r="AC151" s="26"/>
      <x:c r="AD151" s="26"/>
      <x:c r="AE151" s="26"/>
      <x:c r="AF151" s="26"/>
      <x:c r="AG151" s="26"/>
      <x:c r="AH151" s="26"/>
      <x:c r="AI151" s="26"/>
      <x:c r="AJ151" s="26"/>
      <x:c r="AK151" s="26"/>
      <x:c r="AL151" s="26"/>
      <x:c r="AM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  <x:c r="AA152" s="26"/>
      <x:c r="AB152" s="26"/>
      <x:c r="AC152" s="26"/>
      <x:c r="AD152" s="26"/>
      <x:c r="AE152" s="26"/>
      <x:c r="AF152" s="26"/>
      <x:c r="AG152" s="26"/>
      <x:c r="AH152" s="26"/>
      <x:c r="AI152" s="26"/>
      <x:c r="AJ152" s="26"/>
      <x:c r="AK152" s="26"/>
      <x:c r="AL152" s="26"/>
      <x:c r="AM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  <x:c r="AA153" s="26"/>
      <x:c r="AB153" s="26"/>
      <x:c r="AC153" s="26"/>
      <x:c r="AD153" s="26"/>
      <x:c r="AE153" s="26"/>
      <x:c r="AF153" s="26"/>
      <x:c r="AG153" s="26"/>
      <x:c r="AH153" s="26"/>
      <x:c r="AI153" s="26"/>
      <x:c r="AJ153" s="26"/>
      <x:c r="AK153" s="26"/>
      <x:c r="AL153" s="26"/>
      <x:c r="AM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  <x:c r="AA154" s="26"/>
      <x:c r="AB154" s="26"/>
      <x:c r="AC154" s="26"/>
      <x:c r="AD154" s="26"/>
      <x:c r="AE154" s="26"/>
      <x:c r="AF154" s="26"/>
      <x:c r="AG154" s="26"/>
      <x:c r="AH154" s="26"/>
      <x:c r="AI154" s="26"/>
      <x:c r="AJ154" s="26"/>
      <x:c r="AK154" s="26"/>
      <x:c r="AL154" s="26"/>
      <x:c r="AM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  <x:c r="AA155" s="26"/>
      <x:c r="AB155" s="26"/>
      <x:c r="AC155" s="26"/>
      <x:c r="AD155" s="26"/>
      <x:c r="AE155" s="26"/>
      <x:c r="AF155" s="26"/>
      <x:c r="AG155" s="26"/>
      <x:c r="AH155" s="26"/>
      <x:c r="AI155" s="26"/>
      <x:c r="AJ155" s="26"/>
      <x:c r="AK155" s="26"/>
      <x:c r="AL155" s="26"/>
      <x:c r="AM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  <x:c r="AA156" s="26"/>
      <x:c r="AB156" s="26"/>
      <x:c r="AC156" s="26"/>
      <x:c r="AD156" s="26"/>
      <x:c r="AE156" s="26"/>
      <x:c r="AF156" s="26"/>
      <x:c r="AG156" s="26"/>
      <x:c r="AH156" s="26"/>
      <x:c r="AI156" s="26"/>
      <x:c r="AJ156" s="26"/>
      <x:c r="AK156" s="26"/>
      <x:c r="AL156" s="26"/>
      <x:c r="AM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  <x:c r="AA157" s="26"/>
      <x:c r="AB157" s="26"/>
      <x:c r="AC157" s="26"/>
      <x:c r="AD157" s="26"/>
      <x:c r="AE157" s="26"/>
      <x:c r="AF157" s="26"/>
      <x:c r="AG157" s="26"/>
      <x:c r="AH157" s="26"/>
      <x:c r="AI157" s="26"/>
      <x:c r="AJ157" s="26"/>
      <x:c r="AK157" s="26"/>
      <x:c r="AL157" s="26"/>
      <x:c r="AM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  <x:c r="AA158" s="26"/>
      <x:c r="AB158" s="26"/>
      <x:c r="AC158" s="26"/>
      <x:c r="AD158" s="26"/>
      <x:c r="AE158" s="26"/>
      <x:c r="AF158" s="26"/>
      <x:c r="AG158" s="26"/>
      <x:c r="AH158" s="26"/>
      <x:c r="AI158" s="26"/>
      <x:c r="AJ158" s="26"/>
      <x:c r="AK158" s="26"/>
      <x:c r="AL158" s="26"/>
      <x:c r="AM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  <x:c r="AA159" s="26"/>
      <x:c r="AB159" s="26"/>
      <x:c r="AC159" s="26"/>
      <x:c r="AD159" s="26"/>
      <x:c r="AE159" s="26"/>
      <x:c r="AF159" s="26"/>
      <x:c r="AG159" s="26"/>
      <x:c r="AH159" s="26"/>
      <x:c r="AI159" s="26"/>
      <x:c r="AJ159" s="26"/>
      <x:c r="AK159" s="26"/>
      <x:c r="AL159" s="26"/>
      <x:c r="AM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  <x:c r="AA160" s="26"/>
      <x:c r="AB160" s="26"/>
      <x:c r="AC160" s="26"/>
      <x:c r="AD160" s="26"/>
      <x:c r="AE160" s="26"/>
      <x:c r="AF160" s="26"/>
      <x:c r="AG160" s="26"/>
      <x:c r="AH160" s="26"/>
      <x:c r="AI160" s="26"/>
      <x:c r="AJ160" s="26"/>
      <x:c r="AK160" s="26"/>
      <x:c r="AL160" s="26"/>
      <x:c r="AM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  <x:c r="AA161" s="26"/>
      <x:c r="AB161" s="26"/>
      <x:c r="AC161" s="26"/>
      <x:c r="AD161" s="26"/>
      <x:c r="AE161" s="26"/>
      <x:c r="AF161" s="26"/>
      <x:c r="AG161" s="26"/>
      <x:c r="AH161" s="26"/>
      <x:c r="AI161" s="26"/>
      <x:c r="AJ161" s="26"/>
      <x:c r="AK161" s="26"/>
      <x:c r="AL161" s="26"/>
      <x:c r="AM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  <x:c r="AA162" s="26"/>
      <x:c r="AB162" s="26"/>
      <x:c r="AC162" s="26"/>
      <x:c r="AD162" s="26"/>
      <x:c r="AE162" s="26"/>
      <x:c r="AF162" s="26"/>
      <x:c r="AG162" s="26"/>
      <x:c r="AH162" s="26"/>
      <x:c r="AI162" s="26"/>
      <x:c r="AJ162" s="26"/>
      <x:c r="AK162" s="26"/>
      <x:c r="AL162" s="26"/>
      <x:c r="AM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  <x:c r="AA163" s="26"/>
      <x:c r="AB163" s="26"/>
      <x:c r="AC163" s="26"/>
      <x:c r="AD163" s="26"/>
      <x:c r="AE163" s="26"/>
      <x:c r="AF163" s="26"/>
      <x:c r="AG163" s="26"/>
      <x:c r="AH163" s="26"/>
      <x:c r="AI163" s="26"/>
      <x:c r="AJ163" s="26"/>
      <x:c r="AK163" s="26"/>
      <x:c r="AL163" s="26"/>
      <x:c r="AM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  <x:c r="AA164" s="26"/>
      <x:c r="AB164" s="26"/>
      <x:c r="AC164" s="26"/>
      <x:c r="AD164" s="26"/>
      <x:c r="AE164" s="26"/>
      <x:c r="AF164" s="26"/>
      <x:c r="AG164" s="26"/>
      <x:c r="AH164" s="26"/>
      <x:c r="AI164" s="26"/>
      <x:c r="AJ164" s="26"/>
      <x:c r="AK164" s="26"/>
      <x:c r="AL164" s="26"/>
      <x:c r="AM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  <x:c r="AA165" s="26"/>
      <x:c r="AB165" s="26"/>
      <x:c r="AC165" s="26"/>
      <x:c r="AD165" s="26"/>
      <x:c r="AE165" s="26"/>
      <x:c r="AF165" s="26"/>
      <x:c r="AG165" s="26"/>
      <x:c r="AH165" s="26"/>
      <x:c r="AI165" s="26"/>
      <x:c r="AJ165" s="26"/>
      <x:c r="AK165" s="26"/>
      <x:c r="AL165" s="26"/>
      <x:c r="AM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  <x:c r="AA166" s="26"/>
      <x:c r="AB166" s="26"/>
      <x:c r="AC166" s="26"/>
      <x:c r="AD166" s="26"/>
      <x:c r="AE166" s="26"/>
      <x:c r="AF166" s="26"/>
      <x:c r="AG166" s="26"/>
      <x:c r="AH166" s="26"/>
      <x:c r="AI166" s="26"/>
      <x:c r="AJ166" s="26"/>
      <x:c r="AK166" s="26"/>
      <x:c r="AL166" s="26"/>
      <x:c r="AM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  <x:c r="AA167" s="26"/>
      <x:c r="AB167" s="26"/>
      <x:c r="AC167" s="26"/>
      <x:c r="AD167" s="26"/>
      <x:c r="AE167" s="26"/>
      <x:c r="AF167" s="26"/>
      <x:c r="AG167" s="26"/>
      <x:c r="AH167" s="26"/>
      <x:c r="AI167" s="26"/>
      <x:c r="AJ167" s="26"/>
      <x:c r="AK167" s="26"/>
      <x:c r="AL167" s="26"/>
      <x:c r="AM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  <x:c r="AA168" s="26"/>
      <x:c r="AB168" s="26"/>
      <x:c r="AC168" s="26"/>
      <x:c r="AD168" s="26"/>
      <x:c r="AE168" s="26"/>
      <x:c r="AF168" s="26"/>
      <x:c r="AG168" s="26"/>
      <x:c r="AH168" s="26"/>
      <x:c r="AI168" s="26"/>
      <x:c r="AJ168" s="26"/>
      <x:c r="AK168" s="26"/>
      <x:c r="AL168" s="26"/>
      <x:c r="AM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  <x:c r="AA169" s="26"/>
      <x:c r="AB169" s="26"/>
      <x:c r="AC169" s="26"/>
      <x:c r="AD169" s="26"/>
      <x:c r="AE169" s="26"/>
      <x:c r="AF169" s="26"/>
      <x:c r="AG169" s="26"/>
      <x:c r="AH169" s="26"/>
      <x:c r="AI169" s="26"/>
      <x:c r="AJ169" s="26"/>
      <x:c r="AK169" s="26"/>
      <x:c r="AL169" s="26"/>
      <x:c r="AM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  <x:c r="AA170" s="26"/>
      <x:c r="AB170" s="26"/>
      <x:c r="AC170" s="26"/>
      <x:c r="AD170" s="26"/>
      <x:c r="AE170" s="26"/>
      <x:c r="AF170" s="26"/>
      <x:c r="AG170" s="26"/>
      <x:c r="AH170" s="26"/>
      <x:c r="AI170" s="26"/>
      <x:c r="AJ170" s="26"/>
      <x:c r="AK170" s="26"/>
      <x:c r="AL170" s="26"/>
      <x:c r="AM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  <x:c r="AA171" s="26"/>
      <x:c r="AB171" s="26"/>
      <x:c r="AC171" s="26"/>
      <x:c r="AD171" s="26"/>
      <x:c r="AE171" s="26"/>
      <x:c r="AF171" s="26"/>
      <x:c r="AG171" s="26"/>
      <x:c r="AH171" s="26"/>
      <x:c r="AI171" s="26"/>
      <x:c r="AJ171" s="26"/>
      <x:c r="AK171" s="26"/>
      <x:c r="AL171" s="26"/>
      <x:c r="AM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  <x:c r="AA172" s="26"/>
      <x:c r="AB172" s="26"/>
      <x:c r="AC172" s="26"/>
      <x:c r="AD172" s="26"/>
      <x:c r="AE172" s="26"/>
      <x:c r="AF172" s="26"/>
      <x:c r="AG172" s="26"/>
      <x:c r="AH172" s="26"/>
      <x:c r="AI172" s="26"/>
      <x:c r="AJ172" s="26"/>
      <x:c r="AK172" s="26"/>
      <x:c r="AL172" s="26"/>
      <x:c r="AM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  <x:c r="AA173" s="26"/>
      <x:c r="AB173" s="26"/>
      <x:c r="AC173" s="26"/>
      <x:c r="AD173" s="26"/>
      <x:c r="AE173" s="26"/>
      <x:c r="AF173" s="26"/>
      <x:c r="AG173" s="26"/>
      <x:c r="AH173" s="26"/>
      <x:c r="AI173" s="26"/>
      <x:c r="AJ173" s="26"/>
      <x:c r="AK173" s="26"/>
      <x:c r="AL173" s="26"/>
      <x:c r="AM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  <x:c r="AA174" s="26"/>
      <x:c r="AB174" s="26"/>
      <x:c r="AC174" s="26"/>
      <x:c r="AD174" s="26"/>
      <x:c r="AE174" s="26"/>
      <x:c r="AF174" s="26"/>
      <x:c r="AG174" s="26"/>
      <x:c r="AH174" s="26"/>
      <x:c r="AI174" s="26"/>
      <x:c r="AJ174" s="26"/>
      <x:c r="AK174" s="26"/>
      <x:c r="AL174" s="26"/>
      <x:c r="AM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  <x:c r="AA175" s="26"/>
      <x:c r="AB175" s="26"/>
      <x:c r="AC175" s="26"/>
      <x:c r="AD175" s="26"/>
      <x:c r="AE175" s="26"/>
      <x:c r="AF175" s="26"/>
      <x:c r="AG175" s="26"/>
      <x:c r="AH175" s="26"/>
      <x:c r="AI175" s="26"/>
      <x:c r="AJ175" s="26"/>
      <x:c r="AK175" s="26"/>
      <x:c r="AL175" s="26"/>
      <x:c r="AM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  <x:c r="AA176" s="26"/>
      <x:c r="AB176" s="26"/>
      <x:c r="AC176" s="26"/>
      <x:c r="AD176" s="26"/>
      <x:c r="AE176" s="26"/>
      <x:c r="AF176" s="26"/>
      <x:c r="AG176" s="26"/>
      <x:c r="AH176" s="26"/>
      <x:c r="AI176" s="26"/>
      <x:c r="AJ176" s="26"/>
      <x:c r="AK176" s="26"/>
      <x:c r="AL176" s="26"/>
      <x:c r="AM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  <x:c r="AA177" s="26"/>
      <x:c r="AB177" s="26"/>
      <x:c r="AC177" s="26"/>
      <x:c r="AD177" s="26"/>
      <x:c r="AE177" s="26"/>
      <x:c r="AF177" s="26"/>
      <x:c r="AG177" s="26"/>
      <x:c r="AH177" s="26"/>
      <x:c r="AI177" s="26"/>
      <x:c r="AJ177" s="26"/>
      <x:c r="AK177" s="26"/>
      <x:c r="AL177" s="26"/>
      <x:c r="AM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  <x:c r="AA178" s="26"/>
      <x:c r="AB178" s="26"/>
      <x:c r="AC178" s="26"/>
      <x:c r="AD178" s="26"/>
      <x:c r="AE178" s="26"/>
      <x:c r="AF178" s="26"/>
      <x:c r="AG178" s="26"/>
      <x:c r="AH178" s="26"/>
      <x:c r="AI178" s="26"/>
      <x:c r="AJ178" s="26"/>
      <x:c r="AK178" s="26"/>
      <x:c r="AL178" s="26"/>
      <x:c r="AM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  <x:c r="AA179" s="26"/>
      <x:c r="AB179" s="26"/>
      <x:c r="AC179" s="26"/>
      <x:c r="AD179" s="26"/>
      <x:c r="AE179" s="26"/>
      <x:c r="AF179" s="26"/>
      <x:c r="AG179" s="26"/>
      <x:c r="AH179" s="26"/>
      <x:c r="AI179" s="26"/>
      <x:c r="AJ179" s="26"/>
      <x:c r="AK179" s="26"/>
      <x:c r="AL179" s="26"/>
      <x:c r="AM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  <x:c r="AA180" s="26"/>
      <x:c r="AB180" s="26"/>
      <x:c r="AC180" s="26"/>
      <x:c r="AD180" s="26"/>
      <x:c r="AE180" s="26"/>
      <x:c r="AF180" s="26"/>
      <x:c r="AG180" s="26"/>
      <x:c r="AH180" s="26"/>
      <x:c r="AI180" s="26"/>
      <x:c r="AJ180" s="26"/>
      <x:c r="AK180" s="26"/>
      <x:c r="AL180" s="26"/>
      <x:c r="AM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  <x:c r="AA181" s="26"/>
      <x:c r="AB181" s="26"/>
      <x:c r="AC181" s="26"/>
      <x:c r="AD181" s="26"/>
      <x:c r="AE181" s="26"/>
      <x:c r="AF181" s="26"/>
      <x:c r="AG181" s="26"/>
      <x:c r="AH181" s="26"/>
      <x:c r="AI181" s="26"/>
      <x:c r="AJ181" s="26"/>
      <x:c r="AK181" s="26"/>
      <x:c r="AL181" s="26"/>
      <x:c r="AM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  <x:c r="AA182" s="26"/>
      <x:c r="AB182" s="26"/>
      <x:c r="AC182" s="26"/>
      <x:c r="AD182" s="26"/>
      <x:c r="AE182" s="26"/>
      <x:c r="AF182" s="26"/>
      <x:c r="AG182" s="26"/>
      <x:c r="AH182" s="26"/>
      <x:c r="AI182" s="26"/>
      <x:c r="AJ182" s="26"/>
      <x:c r="AK182" s="26"/>
      <x:c r="AL182" s="26"/>
      <x:c r="AM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  <x:c r="AA183" s="26"/>
      <x:c r="AB183" s="26"/>
      <x:c r="AC183" s="26"/>
      <x:c r="AD183" s="26"/>
      <x:c r="AE183" s="26"/>
      <x:c r="AF183" s="26"/>
      <x:c r="AG183" s="26"/>
      <x:c r="AH183" s="26"/>
      <x:c r="AI183" s="26"/>
      <x:c r="AJ183" s="26"/>
      <x:c r="AK183" s="26"/>
      <x:c r="AL183" s="26"/>
      <x:c r="AM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  <x:c r="AA184" s="26"/>
      <x:c r="AB184" s="26"/>
      <x:c r="AC184" s="26"/>
      <x:c r="AD184" s="26"/>
      <x:c r="AE184" s="26"/>
      <x:c r="AF184" s="26"/>
      <x:c r="AG184" s="26"/>
      <x:c r="AH184" s="26"/>
      <x:c r="AI184" s="26"/>
      <x:c r="AJ184" s="26"/>
      <x:c r="AK184" s="26"/>
      <x:c r="AL184" s="26"/>
      <x:c r="AM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  <x:c r="AA185" s="26"/>
      <x:c r="AB185" s="26"/>
      <x:c r="AC185" s="26"/>
      <x:c r="AD185" s="26"/>
      <x:c r="AE185" s="26"/>
      <x:c r="AF185" s="26"/>
      <x:c r="AG185" s="26"/>
      <x:c r="AH185" s="26"/>
      <x:c r="AI185" s="26"/>
      <x:c r="AJ185" s="26"/>
      <x:c r="AK185" s="26"/>
      <x:c r="AL185" s="26"/>
      <x:c r="AM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  <x:c r="AA186" s="26"/>
      <x:c r="AB186" s="26"/>
      <x:c r="AC186" s="26"/>
      <x:c r="AD186" s="26"/>
      <x:c r="AE186" s="26"/>
      <x:c r="AF186" s="26"/>
      <x:c r="AG186" s="26"/>
      <x:c r="AH186" s="26"/>
      <x:c r="AI186" s="26"/>
      <x:c r="AJ186" s="26"/>
      <x:c r="AK186" s="26"/>
      <x:c r="AL186" s="26"/>
      <x:c r="AM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  <x:c r="AA187" s="26"/>
      <x:c r="AB187" s="26"/>
      <x:c r="AC187" s="26"/>
      <x:c r="AD187" s="26"/>
      <x:c r="AE187" s="26"/>
      <x:c r="AF187" s="26"/>
      <x:c r="AG187" s="26"/>
      <x:c r="AH187" s="26"/>
      <x:c r="AI187" s="26"/>
      <x:c r="AJ187" s="26"/>
      <x:c r="AK187" s="26"/>
      <x:c r="AL187" s="26"/>
      <x:c r="AM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  <x:c r="AA188" s="26"/>
      <x:c r="AB188" s="26"/>
      <x:c r="AC188" s="26"/>
      <x:c r="AD188" s="26"/>
      <x:c r="AE188" s="26"/>
      <x:c r="AF188" s="26"/>
      <x:c r="AG188" s="26"/>
      <x:c r="AH188" s="26"/>
      <x:c r="AI188" s="26"/>
      <x:c r="AJ188" s="26"/>
      <x:c r="AK188" s="26"/>
      <x:c r="AL188" s="26"/>
      <x:c r="AM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  <x:c r="AA189" s="26"/>
      <x:c r="AB189" s="26"/>
      <x:c r="AC189" s="26"/>
      <x:c r="AD189" s="26"/>
      <x:c r="AE189" s="26"/>
      <x:c r="AF189" s="26"/>
      <x:c r="AG189" s="26"/>
      <x:c r="AH189" s="26"/>
      <x:c r="AI189" s="26"/>
      <x:c r="AJ189" s="26"/>
      <x:c r="AK189" s="26"/>
      <x:c r="AL189" s="26"/>
      <x:c r="AM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  <x:c r="AA190" s="26"/>
      <x:c r="AB190" s="26"/>
      <x:c r="AC190" s="26"/>
      <x:c r="AD190" s="26"/>
      <x:c r="AE190" s="26"/>
      <x:c r="AF190" s="26"/>
      <x:c r="AG190" s="26"/>
      <x:c r="AH190" s="26"/>
      <x:c r="AI190" s="26"/>
      <x:c r="AJ190" s="26"/>
      <x:c r="AK190" s="26"/>
      <x:c r="AL190" s="26"/>
      <x:c r="AM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  <x:c r="AA191" s="26"/>
      <x:c r="AB191" s="26"/>
      <x:c r="AC191" s="26"/>
      <x:c r="AD191" s="26"/>
      <x:c r="AE191" s="26"/>
      <x:c r="AF191" s="26"/>
      <x:c r="AG191" s="26"/>
      <x:c r="AH191" s="26"/>
      <x:c r="AI191" s="26"/>
      <x:c r="AJ191" s="26"/>
      <x:c r="AK191" s="26"/>
      <x:c r="AL191" s="26"/>
      <x:c r="AM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  <x:c r="AA192" s="26"/>
      <x:c r="AB192" s="26"/>
      <x:c r="AC192" s="26"/>
      <x:c r="AD192" s="26"/>
      <x:c r="AE192" s="26"/>
      <x:c r="AF192" s="26"/>
      <x:c r="AG192" s="26"/>
      <x:c r="AH192" s="26"/>
      <x:c r="AI192" s="26"/>
      <x:c r="AJ192" s="26"/>
      <x:c r="AK192" s="26"/>
      <x:c r="AL192" s="26"/>
      <x:c r="AM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  <x:c r="AA193" s="26"/>
      <x:c r="AB193" s="26"/>
      <x:c r="AC193" s="26"/>
      <x:c r="AD193" s="26"/>
      <x:c r="AE193" s="26"/>
      <x:c r="AF193" s="26"/>
      <x:c r="AG193" s="26"/>
      <x:c r="AH193" s="26"/>
      <x:c r="AI193" s="26"/>
      <x:c r="AJ193" s="26"/>
      <x:c r="AK193" s="26"/>
      <x:c r="AL193" s="26"/>
      <x:c r="AM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  <x:c r="AA194" s="26"/>
      <x:c r="AB194" s="26"/>
      <x:c r="AC194" s="26"/>
      <x:c r="AD194" s="26"/>
      <x:c r="AE194" s="26"/>
      <x:c r="AF194" s="26"/>
      <x:c r="AG194" s="26"/>
      <x:c r="AH194" s="26"/>
      <x:c r="AI194" s="26"/>
      <x:c r="AJ194" s="26"/>
      <x:c r="AK194" s="26"/>
      <x:c r="AL194" s="26"/>
      <x:c r="AM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  <x:c r="AA195" s="26"/>
      <x:c r="AB195" s="26"/>
      <x:c r="AC195" s="26"/>
      <x:c r="AD195" s="26"/>
      <x:c r="AE195" s="26"/>
      <x:c r="AF195" s="26"/>
      <x:c r="AG195" s="26"/>
      <x:c r="AH195" s="26"/>
      <x:c r="AI195" s="26"/>
      <x:c r="AJ195" s="26"/>
      <x:c r="AK195" s="26"/>
      <x:c r="AL195" s="26"/>
      <x:c r="AM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  <x:c r="AA196" s="26"/>
      <x:c r="AB196" s="26"/>
      <x:c r="AC196" s="26"/>
      <x:c r="AD196" s="26"/>
      <x:c r="AE196" s="26"/>
      <x:c r="AF196" s="26"/>
      <x:c r="AG196" s="26"/>
      <x:c r="AH196" s="26"/>
      <x:c r="AI196" s="26"/>
      <x:c r="AJ196" s="26"/>
      <x:c r="AK196" s="26"/>
      <x:c r="AL196" s="26"/>
      <x:c r="AM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  <x:c r="AA197" s="26"/>
      <x:c r="AB197" s="26"/>
      <x:c r="AC197" s="26"/>
      <x:c r="AD197" s="26"/>
      <x:c r="AE197" s="26"/>
      <x:c r="AF197" s="26"/>
      <x:c r="AG197" s="26"/>
      <x:c r="AH197" s="26"/>
      <x:c r="AI197" s="26"/>
      <x:c r="AJ197" s="26"/>
      <x:c r="AK197" s="26"/>
      <x:c r="AL197" s="26"/>
      <x:c r="AM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  <x:c r="AA198" s="26"/>
      <x:c r="AB198" s="26"/>
      <x:c r="AC198" s="26"/>
      <x:c r="AD198" s="26"/>
      <x:c r="AE198" s="26"/>
      <x:c r="AF198" s="26"/>
      <x:c r="AG198" s="26"/>
      <x:c r="AH198" s="26"/>
      <x:c r="AI198" s="26"/>
      <x:c r="AJ198" s="26"/>
      <x:c r="AK198" s="26"/>
      <x:c r="AL198" s="26"/>
      <x:c r="AM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  <x:c r="AA199" s="26"/>
      <x:c r="AB199" s="26"/>
      <x:c r="AC199" s="26"/>
      <x:c r="AD199" s="26"/>
      <x:c r="AE199" s="26"/>
      <x:c r="AF199" s="26"/>
      <x:c r="AG199" s="26"/>
      <x:c r="AH199" s="26"/>
      <x:c r="AI199" s="26"/>
      <x:c r="AJ199" s="26"/>
      <x:c r="AK199" s="26"/>
      <x:c r="AL199" s="26"/>
      <x:c r="AM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  <x:c r="AA200" s="26"/>
      <x:c r="AB200" s="26"/>
      <x:c r="AC200" s="26"/>
      <x:c r="AD200" s="26"/>
      <x:c r="AE200" s="26"/>
      <x:c r="AF200" s="26"/>
      <x:c r="AG200" s="26"/>
      <x:c r="AH200" s="26"/>
      <x:c r="AI200" s="26"/>
      <x:c r="AJ200" s="26"/>
      <x:c r="AK200" s="26"/>
      <x:c r="AL200" s="26"/>
      <x:c r="AM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  <x:c r="AA201" s="26"/>
      <x:c r="AB201" s="26"/>
      <x:c r="AC201" s="26"/>
      <x:c r="AD201" s="26"/>
      <x:c r="AE201" s="26"/>
      <x:c r="AF201" s="26"/>
      <x:c r="AG201" s="26"/>
      <x:c r="AH201" s="26"/>
      <x:c r="AI201" s="26"/>
      <x:c r="AJ201" s="26"/>
      <x:c r="AK201" s="26"/>
      <x:c r="AL201" s="26"/>
      <x:c r="AM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  <x:c r="AA202" s="26"/>
      <x:c r="AB202" s="26"/>
      <x:c r="AC202" s="26"/>
      <x:c r="AD202" s="26"/>
      <x:c r="AE202" s="26"/>
      <x:c r="AF202" s="26"/>
      <x:c r="AG202" s="26"/>
      <x:c r="AH202" s="26"/>
      <x:c r="AI202" s="26"/>
      <x:c r="AJ202" s="26"/>
      <x:c r="AK202" s="26"/>
      <x:c r="AL202" s="26"/>
      <x:c r="AM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  <x:c r="AA203" s="26"/>
      <x:c r="AB203" s="26"/>
      <x:c r="AC203" s="26"/>
      <x:c r="AD203" s="26"/>
      <x:c r="AE203" s="26"/>
      <x:c r="AF203" s="26"/>
      <x:c r="AG203" s="26"/>
      <x:c r="AH203" s="26"/>
      <x:c r="AI203" s="26"/>
      <x:c r="AJ203" s="26"/>
      <x:c r="AK203" s="26"/>
      <x:c r="AL203" s="26"/>
      <x:c r="AM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  <x:c r="AA204" s="26"/>
      <x:c r="AB204" s="26"/>
      <x:c r="AC204" s="26"/>
      <x:c r="AD204" s="26"/>
      <x:c r="AE204" s="26"/>
      <x:c r="AF204" s="26"/>
      <x:c r="AG204" s="26"/>
      <x:c r="AH204" s="26"/>
      <x:c r="AI204" s="26"/>
      <x:c r="AJ204" s="26"/>
      <x:c r="AK204" s="26"/>
      <x:c r="AL204" s="26"/>
      <x:c r="AM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  <x:c r="AA205" s="26"/>
      <x:c r="AB205" s="26"/>
      <x:c r="AC205" s="26"/>
      <x:c r="AD205" s="26"/>
      <x:c r="AE205" s="26"/>
      <x:c r="AF205" s="26"/>
      <x:c r="AG205" s="26"/>
      <x:c r="AH205" s="26"/>
      <x:c r="AI205" s="26"/>
      <x:c r="AJ205" s="26"/>
      <x:c r="AK205" s="26"/>
      <x:c r="AL205" s="26"/>
      <x:c r="AM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  <x:c r="AA206" s="26"/>
      <x:c r="AB206" s="26"/>
      <x:c r="AC206" s="26"/>
      <x:c r="AD206" s="26"/>
      <x:c r="AE206" s="26"/>
      <x:c r="AF206" s="26"/>
      <x:c r="AG206" s="26"/>
      <x:c r="AH206" s="26"/>
      <x:c r="AI206" s="26"/>
      <x:c r="AJ206" s="26"/>
      <x:c r="AK206" s="26"/>
      <x:c r="AL206" s="26"/>
      <x:c r="AM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  <x:c r="AA207" s="26"/>
      <x:c r="AB207" s="26"/>
      <x:c r="AC207" s="26"/>
      <x:c r="AD207" s="26"/>
      <x:c r="AE207" s="26"/>
      <x:c r="AF207" s="26"/>
      <x:c r="AG207" s="26"/>
      <x:c r="AH207" s="26"/>
      <x:c r="AI207" s="26"/>
      <x:c r="AJ207" s="26"/>
      <x:c r="AK207" s="26"/>
      <x:c r="AL207" s="26"/>
      <x:c r="AM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  <x:c r="AA208" s="26"/>
      <x:c r="AB208" s="26"/>
      <x:c r="AC208" s="26"/>
      <x:c r="AD208" s="26"/>
      <x:c r="AE208" s="26"/>
      <x:c r="AF208" s="26"/>
      <x:c r="AG208" s="26"/>
      <x:c r="AH208" s="26"/>
      <x:c r="AI208" s="26"/>
      <x:c r="AJ208" s="26"/>
      <x:c r="AK208" s="26"/>
      <x:c r="AL208" s="26"/>
      <x:c r="AM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  <x:c r="AA209" s="26"/>
      <x:c r="AB209" s="26"/>
      <x:c r="AC209" s="26"/>
      <x:c r="AD209" s="26"/>
      <x:c r="AE209" s="26"/>
      <x:c r="AF209" s="26"/>
      <x:c r="AG209" s="26"/>
      <x:c r="AH209" s="26"/>
      <x:c r="AI209" s="26"/>
      <x:c r="AJ209" s="26"/>
      <x:c r="AK209" s="26"/>
      <x:c r="AL209" s="26"/>
      <x:c r="AM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  <x:c r="AA210" s="26"/>
      <x:c r="AB210" s="26"/>
      <x:c r="AC210" s="26"/>
      <x:c r="AD210" s="26"/>
      <x:c r="AE210" s="26"/>
      <x:c r="AF210" s="26"/>
      <x:c r="AG210" s="26"/>
      <x:c r="AH210" s="26"/>
      <x:c r="AI210" s="26"/>
      <x:c r="AJ210" s="26"/>
      <x:c r="AK210" s="26"/>
      <x:c r="AL210" s="26"/>
      <x:c r="AM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  <x:c r="AA211" s="26"/>
      <x:c r="AB211" s="26"/>
      <x:c r="AC211" s="26"/>
      <x:c r="AD211" s="26"/>
      <x:c r="AE211" s="26"/>
      <x:c r="AF211" s="26"/>
      <x:c r="AG211" s="26"/>
      <x:c r="AH211" s="26"/>
      <x:c r="AI211" s="26"/>
      <x:c r="AJ211" s="26"/>
      <x:c r="AK211" s="26"/>
      <x:c r="AL211" s="26"/>
      <x:c r="AM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  <x:c r="AA212" s="26"/>
      <x:c r="AB212" s="26"/>
      <x:c r="AC212" s="26"/>
      <x:c r="AD212" s="26"/>
      <x:c r="AE212" s="26"/>
      <x:c r="AF212" s="26"/>
      <x:c r="AG212" s="26"/>
      <x:c r="AH212" s="26"/>
      <x:c r="AI212" s="26"/>
      <x:c r="AJ212" s="26"/>
      <x:c r="AK212" s="26"/>
      <x:c r="AL212" s="26"/>
      <x:c r="AM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  <x:c r="AA213" s="26"/>
      <x:c r="AB213" s="26"/>
      <x:c r="AC213" s="26"/>
      <x:c r="AD213" s="26"/>
      <x:c r="AE213" s="26"/>
      <x:c r="AF213" s="26"/>
      <x:c r="AG213" s="26"/>
      <x:c r="AH213" s="26"/>
      <x:c r="AI213" s="26"/>
      <x:c r="AJ213" s="26"/>
      <x:c r="AK213" s="26"/>
      <x:c r="AL213" s="26"/>
      <x:c r="AM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  <x:c r="AA214" s="26"/>
      <x:c r="AB214" s="26"/>
      <x:c r="AC214" s="26"/>
      <x:c r="AD214" s="26"/>
      <x:c r="AE214" s="26"/>
      <x:c r="AF214" s="26"/>
      <x:c r="AG214" s="26"/>
      <x:c r="AH214" s="26"/>
      <x:c r="AI214" s="26"/>
      <x:c r="AJ214" s="26"/>
      <x:c r="AK214" s="26"/>
      <x:c r="AL214" s="26"/>
      <x:c r="AM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  <x:c r="AA215" s="26"/>
      <x:c r="AB215" s="26"/>
      <x:c r="AC215" s="26"/>
      <x:c r="AD215" s="26"/>
      <x:c r="AE215" s="26"/>
      <x:c r="AF215" s="26"/>
      <x:c r="AG215" s="26"/>
      <x:c r="AH215" s="26"/>
      <x:c r="AI215" s="26"/>
      <x:c r="AJ215" s="26"/>
      <x:c r="AK215" s="26"/>
      <x:c r="AL215" s="26"/>
      <x:c r="AM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  <x:c r="AA216" s="26"/>
      <x:c r="AB216" s="26"/>
      <x:c r="AC216" s="26"/>
      <x:c r="AD216" s="26"/>
      <x:c r="AE216" s="26"/>
      <x:c r="AF216" s="26"/>
      <x:c r="AG216" s="26"/>
      <x:c r="AH216" s="26"/>
      <x:c r="AI216" s="26"/>
      <x:c r="AJ216" s="26"/>
      <x:c r="AK216" s="26"/>
      <x:c r="AL216" s="26"/>
      <x:c r="AM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  <x:c r="AA217" s="26"/>
      <x:c r="AB217" s="26"/>
      <x:c r="AC217" s="26"/>
      <x:c r="AD217" s="26"/>
      <x:c r="AE217" s="26"/>
      <x:c r="AF217" s="26"/>
      <x:c r="AG217" s="26"/>
      <x:c r="AH217" s="26"/>
      <x:c r="AI217" s="26"/>
      <x:c r="AJ217" s="26"/>
      <x:c r="AK217" s="26"/>
      <x:c r="AL217" s="26"/>
      <x:c r="AM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  <x:c r="AA218" s="26"/>
      <x:c r="AB218" s="26"/>
      <x:c r="AC218" s="26"/>
      <x:c r="AD218" s="26"/>
      <x:c r="AE218" s="26"/>
      <x:c r="AF218" s="26"/>
      <x:c r="AG218" s="26"/>
      <x:c r="AH218" s="26"/>
      <x:c r="AI218" s="26"/>
      <x:c r="AJ218" s="26"/>
      <x:c r="AK218" s="26"/>
      <x:c r="AL218" s="26"/>
      <x:c r="AM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  <x:c r="AA219" s="26"/>
      <x:c r="AB219" s="26"/>
      <x:c r="AC219" s="26"/>
      <x:c r="AD219" s="26"/>
      <x:c r="AE219" s="26"/>
      <x:c r="AF219" s="26"/>
      <x:c r="AG219" s="26"/>
      <x:c r="AH219" s="26"/>
      <x:c r="AI219" s="26"/>
      <x:c r="AJ219" s="26"/>
      <x:c r="AK219" s="26"/>
      <x:c r="AL219" s="26"/>
      <x:c r="AM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  <x:c r="AA220" s="26"/>
      <x:c r="AB220" s="26"/>
      <x:c r="AC220" s="26"/>
      <x:c r="AD220" s="26"/>
      <x:c r="AE220" s="26"/>
      <x:c r="AF220" s="26"/>
      <x:c r="AG220" s="26"/>
      <x:c r="AH220" s="26"/>
      <x:c r="AI220" s="26"/>
      <x:c r="AJ220" s="26"/>
      <x:c r="AK220" s="26"/>
      <x:c r="AL220" s="26"/>
      <x:c r="AM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  <x:c r="AA221" s="26"/>
      <x:c r="AB221" s="26"/>
      <x:c r="AC221" s="26"/>
      <x:c r="AD221" s="26"/>
      <x:c r="AE221" s="26"/>
      <x:c r="AF221" s="26"/>
      <x:c r="AG221" s="26"/>
      <x:c r="AH221" s="26"/>
      <x:c r="AI221" s="26"/>
      <x:c r="AJ221" s="26"/>
      <x:c r="AK221" s="26"/>
      <x:c r="AL221" s="26"/>
      <x:c r="AM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  <x:c r="AA222" s="26"/>
      <x:c r="AB222" s="26"/>
      <x:c r="AC222" s="26"/>
      <x:c r="AD222" s="26"/>
      <x:c r="AE222" s="26"/>
      <x:c r="AF222" s="26"/>
      <x:c r="AG222" s="26"/>
      <x:c r="AH222" s="26"/>
      <x:c r="AI222" s="26"/>
      <x:c r="AJ222" s="26"/>
      <x:c r="AK222" s="26"/>
      <x:c r="AL222" s="26"/>
      <x:c r="AM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  <x:c r="AA223" s="26"/>
      <x:c r="AB223" s="26"/>
      <x:c r="AC223" s="26"/>
      <x:c r="AD223" s="26"/>
      <x:c r="AE223" s="26"/>
      <x:c r="AF223" s="26"/>
      <x:c r="AG223" s="26"/>
      <x:c r="AH223" s="26"/>
      <x:c r="AI223" s="26"/>
      <x:c r="AJ223" s="26"/>
      <x:c r="AK223" s="26"/>
      <x:c r="AL223" s="26"/>
      <x:c r="AM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  <x:c r="AA224" s="26"/>
      <x:c r="AB224" s="26"/>
      <x:c r="AC224" s="26"/>
      <x:c r="AD224" s="26"/>
      <x:c r="AE224" s="26"/>
      <x:c r="AF224" s="26"/>
      <x:c r="AG224" s="26"/>
      <x:c r="AH224" s="26"/>
      <x:c r="AI224" s="26"/>
      <x:c r="AJ224" s="26"/>
      <x:c r="AK224" s="26"/>
      <x:c r="AL224" s="26"/>
      <x:c r="AM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  <x:c r="AA225" s="26"/>
      <x:c r="AB225" s="26"/>
      <x:c r="AC225" s="26"/>
      <x:c r="AD225" s="26"/>
      <x:c r="AE225" s="26"/>
      <x:c r="AF225" s="26"/>
      <x:c r="AG225" s="26"/>
      <x:c r="AH225" s="26"/>
      <x:c r="AI225" s="26"/>
      <x:c r="AJ225" s="26"/>
      <x:c r="AK225" s="26"/>
      <x:c r="AL225" s="26"/>
      <x:c r="AM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  <x:c r="AA226" s="26"/>
      <x:c r="AB226" s="26"/>
      <x:c r="AC226" s="26"/>
      <x:c r="AD226" s="26"/>
      <x:c r="AE226" s="26"/>
      <x:c r="AF226" s="26"/>
      <x:c r="AG226" s="26"/>
      <x:c r="AH226" s="26"/>
      <x:c r="AI226" s="26"/>
      <x:c r="AJ226" s="26"/>
      <x:c r="AK226" s="26"/>
      <x:c r="AL226" s="26"/>
      <x:c r="AM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  <x:c r="AA227" s="26"/>
      <x:c r="AB227" s="26"/>
      <x:c r="AC227" s="26"/>
      <x:c r="AD227" s="26"/>
      <x:c r="AE227" s="26"/>
      <x:c r="AF227" s="26"/>
      <x:c r="AG227" s="26"/>
      <x:c r="AH227" s="26"/>
      <x:c r="AI227" s="26"/>
      <x:c r="AJ227" s="26"/>
      <x:c r="AK227" s="26"/>
      <x:c r="AL227" s="26"/>
      <x:c r="AM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  <x:c r="AA228" s="26"/>
      <x:c r="AB228" s="26"/>
      <x:c r="AC228" s="26"/>
      <x:c r="AD228" s="26"/>
      <x:c r="AE228" s="26"/>
      <x:c r="AF228" s="26"/>
      <x:c r="AG228" s="26"/>
      <x:c r="AH228" s="26"/>
      <x:c r="AI228" s="26"/>
      <x:c r="AJ228" s="26"/>
      <x:c r="AK228" s="26"/>
      <x:c r="AL228" s="26"/>
      <x:c r="AM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  <x:c r="AA229" s="26"/>
      <x:c r="AB229" s="26"/>
      <x:c r="AC229" s="26"/>
      <x:c r="AD229" s="26"/>
      <x:c r="AE229" s="26"/>
      <x:c r="AF229" s="26"/>
      <x:c r="AG229" s="26"/>
      <x:c r="AH229" s="26"/>
      <x:c r="AI229" s="26"/>
      <x:c r="AJ229" s="26"/>
      <x:c r="AK229" s="26"/>
      <x:c r="AL229" s="26"/>
      <x:c r="AM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  <x:c r="AA230" s="26"/>
      <x:c r="AB230" s="26"/>
      <x:c r="AC230" s="26"/>
      <x:c r="AD230" s="26"/>
      <x:c r="AE230" s="26"/>
      <x:c r="AF230" s="26"/>
      <x:c r="AG230" s="26"/>
      <x:c r="AH230" s="26"/>
      <x:c r="AI230" s="26"/>
      <x:c r="AJ230" s="26"/>
      <x:c r="AK230" s="26"/>
      <x:c r="AL230" s="26"/>
      <x:c r="AM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  <x:c r="AA231" s="26"/>
      <x:c r="AB231" s="26"/>
      <x:c r="AC231" s="26"/>
      <x:c r="AD231" s="26"/>
      <x:c r="AE231" s="26"/>
      <x:c r="AF231" s="26"/>
      <x:c r="AG231" s="26"/>
      <x:c r="AH231" s="26"/>
      <x:c r="AI231" s="26"/>
      <x:c r="AJ231" s="26"/>
      <x:c r="AK231" s="26"/>
      <x:c r="AL231" s="26"/>
      <x:c r="AM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  <x:c r="AA232" s="26"/>
      <x:c r="AB232" s="26"/>
      <x:c r="AC232" s="26"/>
      <x:c r="AD232" s="26"/>
      <x:c r="AE232" s="26"/>
      <x:c r="AF232" s="26"/>
      <x:c r="AG232" s="26"/>
      <x:c r="AH232" s="26"/>
      <x:c r="AI232" s="26"/>
      <x:c r="AJ232" s="26"/>
      <x:c r="AK232" s="26"/>
      <x:c r="AL232" s="26"/>
      <x:c r="AM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  <x:c r="AA233" s="26"/>
      <x:c r="AB233" s="26"/>
      <x:c r="AC233" s="26"/>
      <x:c r="AD233" s="26"/>
      <x:c r="AE233" s="26"/>
      <x:c r="AF233" s="26"/>
      <x:c r="AG233" s="26"/>
      <x:c r="AH233" s="26"/>
      <x:c r="AI233" s="26"/>
      <x:c r="AJ233" s="26"/>
      <x:c r="AK233" s="26"/>
      <x:c r="AL233" s="26"/>
      <x:c r="AM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  <x:c r="AA234" s="26"/>
      <x:c r="AB234" s="26"/>
      <x:c r="AC234" s="26"/>
      <x:c r="AD234" s="26"/>
      <x:c r="AE234" s="26"/>
      <x:c r="AF234" s="26"/>
      <x:c r="AG234" s="26"/>
      <x:c r="AH234" s="26"/>
      <x:c r="AI234" s="26"/>
      <x:c r="AJ234" s="26"/>
      <x:c r="AK234" s="26"/>
      <x:c r="AL234" s="26"/>
      <x:c r="AM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  <x:c r="AA235" s="26"/>
      <x:c r="AB235" s="26"/>
      <x:c r="AC235" s="26"/>
      <x:c r="AD235" s="26"/>
      <x:c r="AE235" s="26"/>
      <x:c r="AF235" s="26"/>
      <x:c r="AG235" s="26"/>
      <x:c r="AH235" s="26"/>
      <x:c r="AI235" s="26"/>
      <x:c r="AJ235" s="26"/>
      <x:c r="AK235" s="26"/>
      <x:c r="AL235" s="26"/>
      <x:c r="AM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  <x:c r="AA236" s="26"/>
      <x:c r="AB236" s="26"/>
      <x:c r="AC236" s="26"/>
      <x:c r="AD236" s="26"/>
      <x:c r="AE236" s="26"/>
      <x:c r="AF236" s="26"/>
      <x:c r="AG236" s="26"/>
      <x:c r="AH236" s="26"/>
      <x:c r="AI236" s="26"/>
      <x:c r="AJ236" s="26"/>
      <x:c r="AK236" s="26"/>
      <x:c r="AL236" s="26"/>
      <x:c r="AM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  <x:c r="AA237" s="26"/>
      <x:c r="AB237" s="26"/>
      <x:c r="AC237" s="26"/>
      <x:c r="AD237" s="26"/>
      <x:c r="AE237" s="26"/>
      <x:c r="AF237" s="26"/>
      <x:c r="AG237" s="26"/>
      <x:c r="AH237" s="26"/>
      <x:c r="AI237" s="26"/>
      <x:c r="AJ237" s="26"/>
      <x:c r="AK237" s="26"/>
      <x:c r="AL237" s="26"/>
      <x:c r="AM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  <x:c r="AA238" s="26"/>
      <x:c r="AB238" s="26"/>
      <x:c r="AC238" s="26"/>
      <x:c r="AD238" s="26"/>
      <x:c r="AE238" s="26"/>
      <x:c r="AF238" s="26"/>
      <x:c r="AG238" s="26"/>
      <x:c r="AH238" s="26"/>
      <x:c r="AI238" s="26"/>
      <x:c r="AJ238" s="26"/>
      <x:c r="AK238" s="26"/>
      <x:c r="AL238" s="26"/>
      <x:c r="AM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  <x:c r="AA239" s="26"/>
      <x:c r="AB239" s="26"/>
      <x:c r="AC239" s="26"/>
      <x:c r="AD239" s="26"/>
      <x:c r="AE239" s="26"/>
      <x:c r="AF239" s="26"/>
      <x:c r="AG239" s="26"/>
      <x:c r="AH239" s="26"/>
      <x:c r="AI239" s="26"/>
      <x:c r="AJ239" s="26"/>
      <x:c r="AK239" s="26"/>
      <x:c r="AL239" s="26"/>
      <x:c r="AM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  <x:c r="AA240" s="26"/>
      <x:c r="AB240" s="26"/>
      <x:c r="AC240" s="26"/>
      <x:c r="AD240" s="26"/>
      <x:c r="AE240" s="26"/>
      <x:c r="AF240" s="26"/>
      <x:c r="AG240" s="26"/>
      <x:c r="AH240" s="26"/>
      <x:c r="AI240" s="26"/>
      <x:c r="AJ240" s="26"/>
      <x:c r="AK240" s="26"/>
      <x:c r="AL240" s="26"/>
      <x:c r="AM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  <x:c r="AA241" s="26"/>
      <x:c r="AB241" s="26"/>
      <x:c r="AC241" s="26"/>
      <x:c r="AD241" s="26"/>
      <x:c r="AE241" s="26"/>
      <x:c r="AF241" s="26"/>
      <x:c r="AG241" s="26"/>
      <x:c r="AH241" s="26"/>
      <x:c r="AI241" s="26"/>
      <x:c r="AJ241" s="26"/>
      <x:c r="AK241" s="26"/>
      <x:c r="AL241" s="26"/>
      <x:c r="AM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  <x:c r="AA242" s="26"/>
      <x:c r="AB242" s="26"/>
      <x:c r="AC242" s="26"/>
      <x:c r="AD242" s="26"/>
      <x:c r="AE242" s="26"/>
      <x:c r="AF242" s="26"/>
      <x:c r="AG242" s="26"/>
      <x:c r="AH242" s="26"/>
      <x:c r="AI242" s="26"/>
      <x:c r="AJ242" s="26"/>
      <x:c r="AK242" s="26"/>
      <x:c r="AL242" s="26"/>
      <x:c r="AM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  <x:c r="AA243" s="26"/>
      <x:c r="AB243" s="26"/>
      <x:c r="AC243" s="26"/>
      <x:c r="AD243" s="26"/>
      <x:c r="AE243" s="26"/>
      <x:c r="AF243" s="26"/>
      <x:c r="AG243" s="26"/>
      <x:c r="AH243" s="26"/>
      <x:c r="AI243" s="26"/>
      <x:c r="AJ243" s="26"/>
      <x:c r="AK243" s="26"/>
      <x:c r="AL243" s="26"/>
      <x:c r="AM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  <x:c r="AA244" s="26"/>
      <x:c r="AB244" s="26"/>
      <x:c r="AC244" s="26"/>
      <x:c r="AD244" s="26"/>
      <x:c r="AE244" s="26"/>
      <x:c r="AF244" s="26"/>
      <x:c r="AG244" s="26"/>
      <x:c r="AH244" s="26"/>
      <x:c r="AI244" s="26"/>
      <x:c r="AJ244" s="26"/>
      <x:c r="AK244" s="26"/>
      <x:c r="AL244" s="26"/>
      <x:c r="AM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  <x:c r="AA245" s="26"/>
      <x:c r="AB245" s="26"/>
      <x:c r="AC245" s="26"/>
      <x:c r="AD245" s="26"/>
      <x:c r="AE245" s="26"/>
      <x:c r="AF245" s="26"/>
      <x:c r="AG245" s="26"/>
      <x:c r="AH245" s="26"/>
      <x:c r="AI245" s="26"/>
      <x:c r="AJ245" s="26"/>
      <x:c r="AK245" s="26"/>
      <x:c r="AL245" s="26"/>
      <x:c r="AM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  <x:c r="AA246" s="26"/>
      <x:c r="AB246" s="26"/>
      <x:c r="AC246" s="26"/>
      <x:c r="AD246" s="26"/>
      <x:c r="AE246" s="26"/>
      <x:c r="AF246" s="26"/>
      <x:c r="AG246" s="26"/>
      <x:c r="AH246" s="26"/>
      <x:c r="AI246" s="26"/>
      <x:c r="AJ246" s="26"/>
      <x:c r="AK246" s="26"/>
      <x:c r="AL246" s="26"/>
      <x:c r="AM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  <x:c r="AA247" s="26"/>
      <x:c r="AB247" s="26"/>
      <x:c r="AC247" s="26"/>
      <x:c r="AD247" s="26"/>
      <x:c r="AE247" s="26"/>
      <x:c r="AF247" s="26"/>
      <x:c r="AG247" s="26"/>
      <x:c r="AH247" s="26"/>
      <x:c r="AI247" s="26"/>
      <x:c r="AJ247" s="26"/>
      <x:c r="AK247" s="26"/>
      <x:c r="AL247" s="26"/>
      <x:c r="AM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  <x:c r="AA248" s="26"/>
      <x:c r="AB248" s="26"/>
      <x:c r="AC248" s="26"/>
      <x:c r="AD248" s="26"/>
      <x:c r="AE248" s="26"/>
      <x:c r="AF248" s="26"/>
      <x:c r="AG248" s="26"/>
      <x:c r="AH248" s="26"/>
      <x:c r="AI248" s="26"/>
      <x:c r="AJ248" s="26"/>
      <x:c r="AK248" s="26"/>
      <x:c r="AL248" s="26"/>
      <x:c r="AM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  <x:c r="AA249" s="26"/>
      <x:c r="AB249" s="26"/>
      <x:c r="AC249" s="26"/>
      <x:c r="AD249" s="26"/>
      <x:c r="AE249" s="26"/>
      <x:c r="AF249" s="26"/>
      <x:c r="AG249" s="26"/>
      <x:c r="AH249" s="26"/>
      <x:c r="AI249" s="26"/>
      <x:c r="AJ249" s="26"/>
      <x:c r="AK249" s="26"/>
      <x:c r="AL249" s="26"/>
      <x:c r="AM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  <x:c r="AA250" s="26"/>
      <x:c r="AB250" s="26"/>
      <x:c r="AC250" s="26"/>
      <x:c r="AD250" s="26"/>
      <x:c r="AE250" s="26"/>
      <x:c r="AF250" s="26"/>
      <x:c r="AG250" s="26"/>
      <x:c r="AH250" s="26"/>
      <x:c r="AI250" s="26"/>
      <x:c r="AJ250" s="26"/>
      <x:c r="AK250" s="26"/>
      <x:c r="AL250" s="26"/>
      <x:c r="AM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  <x:c r="AA251" s="26"/>
      <x:c r="AB251" s="26"/>
      <x:c r="AC251" s="26"/>
      <x:c r="AD251" s="26"/>
      <x:c r="AE251" s="26"/>
      <x:c r="AF251" s="26"/>
      <x:c r="AG251" s="26"/>
      <x:c r="AH251" s="26"/>
      <x:c r="AI251" s="26"/>
      <x:c r="AJ251" s="26"/>
      <x:c r="AK251" s="26"/>
      <x:c r="AL251" s="26"/>
      <x:c r="AM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  <x:c r="AA252" s="26"/>
      <x:c r="AB252" s="26"/>
      <x:c r="AC252" s="26"/>
      <x:c r="AD252" s="26"/>
      <x:c r="AE252" s="26"/>
      <x:c r="AF252" s="26"/>
      <x:c r="AG252" s="26"/>
      <x:c r="AH252" s="26"/>
      <x:c r="AI252" s="26"/>
      <x:c r="AJ252" s="26"/>
      <x:c r="AK252" s="26"/>
      <x:c r="AL252" s="26"/>
      <x:c r="AM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  <x:c r="AA253" s="26"/>
      <x:c r="AB253" s="26"/>
      <x:c r="AC253" s="26"/>
      <x:c r="AD253" s="26"/>
      <x:c r="AE253" s="26"/>
      <x:c r="AF253" s="26"/>
      <x:c r="AG253" s="26"/>
      <x:c r="AH253" s="26"/>
      <x:c r="AI253" s="26"/>
      <x:c r="AJ253" s="26"/>
      <x:c r="AK253" s="26"/>
      <x:c r="AL253" s="26"/>
      <x:c r="AM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  <x:c r="AA254" s="26"/>
      <x:c r="AB254" s="26"/>
      <x:c r="AC254" s="26"/>
      <x:c r="AD254" s="26"/>
      <x:c r="AE254" s="26"/>
      <x:c r="AF254" s="26"/>
      <x:c r="AG254" s="26"/>
      <x:c r="AH254" s="26"/>
      <x:c r="AI254" s="26"/>
      <x:c r="AJ254" s="26"/>
      <x:c r="AK254" s="26"/>
      <x:c r="AL254" s="26"/>
      <x:c r="AM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  <x:c r="AA255" s="26"/>
      <x:c r="AB255" s="26"/>
      <x:c r="AC255" s="26"/>
      <x:c r="AD255" s="26"/>
      <x:c r="AE255" s="26"/>
      <x:c r="AF255" s="26"/>
      <x:c r="AG255" s="26"/>
      <x:c r="AH255" s="26"/>
      <x:c r="AI255" s="26"/>
      <x:c r="AJ255" s="26"/>
      <x:c r="AK255" s="26"/>
      <x:c r="AL255" s="26"/>
      <x:c r="AM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  <x:c r="AA256" s="26"/>
      <x:c r="AB256" s="26"/>
      <x:c r="AC256" s="26"/>
      <x:c r="AD256" s="26"/>
      <x:c r="AE256" s="26"/>
      <x:c r="AF256" s="26"/>
      <x:c r="AG256" s="26"/>
      <x:c r="AH256" s="26"/>
      <x:c r="AI256" s="26"/>
      <x:c r="AJ256" s="26"/>
      <x:c r="AK256" s="26"/>
      <x:c r="AL256" s="26"/>
      <x:c r="AM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  <x:c r="AA257" s="26"/>
      <x:c r="AB257" s="26"/>
      <x:c r="AC257" s="26"/>
      <x:c r="AD257" s="26"/>
      <x:c r="AE257" s="26"/>
      <x:c r="AF257" s="26"/>
      <x:c r="AG257" s="26"/>
      <x:c r="AH257" s="26"/>
      <x:c r="AI257" s="26"/>
      <x:c r="AJ257" s="26"/>
      <x:c r="AK257" s="26"/>
      <x:c r="AL257" s="26"/>
      <x:c r="AM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  <x:c r="AA258" s="26"/>
      <x:c r="AB258" s="26"/>
      <x:c r="AC258" s="26"/>
      <x:c r="AD258" s="26"/>
      <x:c r="AE258" s="26"/>
      <x:c r="AF258" s="26"/>
      <x:c r="AG258" s="26"/>
      <x:c r="AH258" s="26"/>
      <x:c r="AI258" s="26"/>
      <x:c r="AJ258" s="26"/>
      <x:c r="AK258" s="26"/>
      <x:c r="AL258" s="26"/>
      <x:c r="AM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  <x:c r="AA259" s="26"/>
      <x:c r="AB259" s="26"/>
      <x:c r="AC259" s="26"/>
      <x:c r="AD259" s="26"/>
      <x:c r="AE259" s="26"/>
      <x:c r="AF259" s="26"/>
      <x:c r="AG259" s="26"/>
      <x:c r="AH259" s="26"/>
      <x:c r="AI259" s="26"/>
      <x:c r="AJ259" s="26"/>
      <x:c r="AK259" s="26"/>
      <x:c r="AL259" s="26"/>
      <x:c r="AM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  <x:c r="AA260" s="26"/>
      <x:c r="AB260" s="26"/>
      <x:c r="AC260" s="26"/>
      <x:c r="AD260" s="26"/>
      <x:c r="AE260" s="26"/>
      <x:c r="AF260" s="26"/>
      <x:c r="AG260" s="26"/>
      <x:c r="AH260" s="26"/>
      <x:c r="AI260" s="26"/>
      <x:c r="AJ260" s="26"/>
      <x:c r="AK260" s="26"/>
      <x:c r="AL260" s="26"/>
      <x:c r="AM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  <x:c r="AA261" s="26"/>
      <x:c r="AB261" s="26"/>
      <x:c r="AC261" s="26"/>
      <x:c r="AD261" s="26"/>
      <x:c r="AE261" s="26"/>
      <x:c r="AF261" s="26"/>
      <x:c r="AG261" s="26"/>
      <x:c r="AH261" s="26"/>
      <x:c r="AI261" s="26"/>
      <x:c r="AJ261" s="26"/>
      <x:c r="AK261" s="26"/>
      <x:c r="AL261" s="26"/>
      <x:c r="AM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  <x:c r="AA262" s="26"/>
      <x:c r="AB262" s="26"/>
      <x:c r="AC262" s="26"/>
      <x:c r="AD262" s="26"/>
      <x:c r="AE262" s="26"/>
      <x:c r="AF262" s="26"/>
      <x:c r="AG262" s="26"/>
      <x:c r="AH262" s="26"/>
      <x:c r="AI262" s="26"/>
      <x:c r="AJ262" s="26"/>
      <x:c r="AK262" s="26"/>
      <x:c r="AL262" s="26"/>
      <x:c r="AM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  <x:c r="AA263" s="26"/>
      <x:c r="AB263" s="26"/>
      <x:c r="AC263" s="26"/>
      <x:c r="AD263" s="26"/>
      <x:c r="AE263" s="26"/>
      <x:c r="AF263" s="26"/>
      <x:c r="AG263" s="26"/>
      <x:c r="AH263" s="26"/>
      <x:c r="AI263" s="26"/>
      <x:c r="AJ263" s="26"/>
      <x:c r="AK263" s="26"/>
      <x:c r="AL263" s="26"/>
      <x:c r="AM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  <x:c r="AA264" s="26"/>
      <x:c r="AB264" s="26"/>
      <x:c r="AC264" s="26"/>
      <x:c r="AD264" s="26"/>
      <x:c r="AE264" s="26"/>
      <x:c r="AF264" s="26"/>
      <x:c r="AG264" s="26"/>
      <x:c r="AH264" s="26"/>
      <x:c r="AI264" s="26"/>
      <x:c r="AJ264" s="26"/>
      <x:c r="AK264" s="26"/>
      <x:c r="AL264" s="26"/>
      <x:c r="AM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  <x:c r="AA265" s="26"/>
      <x:c r="AB265" s="26"/>
      <x:c r="AC265" s="26"/>
      <x:c r="AD265" s="26"/>
      <x:c r="AE265" s="26"/>
      <x:c r="AF265" s="26"/>
      <x:c r="AG265" s="26"/>
      <x:c r="AH265" s="26"/>
      <x:c r="AI265" s="26"/>
      <x:c r="AJ265" s="26"/>
      <x:c r="AK265" s="26"/>
      <x:c r="AL265" s="26"/>
      <x:c r="AM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  <x:c r="AA266" s="26"/>
      <x:c r="AB266" s="26"/>
      <x:c r="AC266" s="26"/>
      <x:c r="AD266" s="26"/>
      <x:c r="AE266" s="26"/>
      <x:c r="AF266" s="26"/>
      <x:c r="AG266" s="26"/>
      <x:c r="AH266" s="26"/>
      <x:c r="AI266" s="26"/>
      <x:c r="AJ266" s="26"/>
      <x:c r="AK266" s="26"/>
      <x:c r="AL266" s="26"/>
      <x:c r="AM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  <x:c r="AA267" s="26"/>
      <x:c r="AB267" s="26"/>
      <x:c r="AC267" s="26"/>
      <x:c r="AD267" s="26"/>
      <x:c r="AE267" s="26"/>
      <x:c r="AF267" s="26"/>
      <x:c r="AG267" s="26"/>
      <x:c r="AH267" s="26"/>
      <x:c r="AI267" s="26"/>
      <x:c r="AJ267" s="26"/>
      <x:c r="AK267" s="26"/>
      <x:c r="AL267" s="26"/>
      <x:c r="AM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  <x:c r="AA268" s="26"/>
      <x:c r="AB268" s="26"/>
      <x:c r="AC268" s="26"/>
      <x:c r="AD268" s="26"/>
      <x:c r="AE268" s="26"/>
      <x:c r="AF268" s="26"/>
      <x:c r="AG268" s="26"/>
      <x:c r="AH268" s="26"/>
      <x:c r="AI268" s="26"/>
      <x:c r="AJ268" s="26"/>
      <x:c r="AK268" s="26"/>
      <x:c r="AL268" s="26"/>
      <x:c r="AM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  <x:c r="AA269" s="26"/>
      <x:c r="AB269" s="26"/>
      <x:c r="AC269" s="26"/>
      <x:c r="AD269" s="26"/>
      <x:c r="AE269" s="26"/>
      <x:c r="AF269" s="26"/>
      <x:c r="AG269" s="26"/>
      <x:c r="AH269" s="26"/>
      <x:c r="AI269" s="26"/>
      <x:c r="AJ269" s="26"/>
      <x:c r="AK269" s="26"/>
      <x:c r="AL269" s="26"/>
      <x:c r="AM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  <x:c r="AA270" s="26"/>
      <x:c r="AB270" s="26"/>
      <x:c r="AC270" s="26"/>
      <x:c r="AD270" s="26"/>
      <x:c r="AE270" s="26"/>
      <x:c r="AF270" s="26"/>
      <x:c r="AG270" s="26"/>
      <x:c r="AH270" s="26"/>
      <x:c r="AI270" s="26"/>
      <x:c r="AJ270" s="26"/>
      <x:c r="AK270" s="26"/>
      <x:c r="AL270" s="26"/>
      <x:c r="AM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  <x:c r="AA271" s="26"/>
      <x:c r="AB271" s="26"/>
      <x:c r="AC271" s="26"/>
      <x:c r="AD271" s="26"/>
      <x:c r="AE271" s="26"/>
      <x:c r="AF271" s="26"/>
      <x:c r="AG271" s="26"/>
      <x:c r="AH271" s="26"/>
      <x:c r="AI271" s="26"/>
      <x:c r="AJ271" s="26"/>
      <x:c r="AK271" s="26"/>
      <x:c r="AL271" s="26"/>
      <x:c r="AM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  <x:c r="AA272" s="26"/>
      <x:c r="AB272" s="26"/>
      <x:c r="AC272" s="26"/>
      <x:c r="AD272" s="26"/>
      <x:c r="AE272" s="26"/>
      <x:c r="AF272" s="26"/>
      <x:c r="AG272" s="26"/>
      <x:c r="AH272" s="26"/>
      <x:c r="AI272" s="26"/>
      <x:c r="AJ272" s="26"/>
      <x:c r="AK272" s="26"/>
      <x:c r="AL272" s="26"/>
      <x:c r="AM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  <x:c r="AA273" s="26"/>
      <x:c r="AB273" s="26"/>
      <x:c r="AC273" s="26"/>
      <x:c r="AD273" s="26"/>
      <x:c r="AE273" s="26"/>
      <x:c r="AF273" s="26"/>
      <x:c r="AG273" s="26"/>
      <x:c r="AH273" s="26"/>
      <x:c r="AI273" s="26"/>
      <x:c r="AJ273" s="26"/>
      <x:c r="AK273" s="26"/>
      <x:c r="AL273" s="26"/>
      <x:c r="AM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  <x:c r="AA274" s="26"/>
      <x:c r="AB274" s="26"/>
      <x:c r="AC274" s="26"/>
      <x:c r="AD274" s="26"/>
      <x:c r="AE274" s="26"/>
      <x:c r="AF274" s="26"/>
      <x:c r="AG274" s="26"/>
      <x:c r="AH274" s="26"/>
      <x:c r="AI274" s="26"/>
      <x:c r="AJ274" s="26"/>
      <x:c r="AK274" s="26"/>
      <x:c r="AL274" s="26"/>
      <x:c r="AM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  <x:c r="AA275" s="26"/>
      <x:c r="AB275" s="26"/>
      <x:c r="AC275" s="26"/>
      <x:c r="AD275" s="26"/>
      <x:c r="AE275" s="26"/>
      <x:c r="AF275" s="26"/>
      <x:c r="AG275" s="26"/>
      <x:c r="AH275" s="26"/>
      <x:c r="AI275" s="26"/>
      <x:c r="AJ275" s="26"/>
      <x:c r="AK275" s="26"/>
      <x:c r="AL275" s="26"/>
      <x:c r="AM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  <x:c r="AA276" s="26"/>
      <x:c r="AB276" s="26"/>
      <x:c r="AC276" s="26"/>
      <x:c r="AD276" s="26"/>
      <x:c r="AE276" s="26"/>
      <x:c r="AF276" s="26"/>
      <x:c r="AG276" s="26"/>
      <x:c r="AH276" s="26"/>
      <x:c r="AI276" s="26"/>
      <x:c r="AJ276" s="26"/>
      <x:c r="AK276" s="26"/>
      <x:c r="AL276" s="26"/>
      <x:c r="AM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  <x:c r="AA277" s="26"/>
      <x:c r="AB277" s="26"/>
      <x:c r="AC277" s="26"/>
      <x:c r="AD277" s="26"/>
      <x:c r="AE277" s="26"/>
      <x:c r="AF277" s="26"/>
      <x:c r="AG277" s="26"/>
      <x:c r="AH277" s="26"/>
      <x:c r="AI277" s="26"/>
      <x:c r="AJ277" s="26"/>
      <x:c r="AK277" s="26"/>
      <x:c r="AL277" s="26"/>
      <x:c r="AM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  <x:c r="AA278" s="26"/>
      <x:c r="AB278" s="26"/>
      <x:c r="AC278" s="26"/>
      <x:c r="AD278" s="26"/>
      <x:c r="AE278" s="26"/>
      <x:c r="AF278" s="26"/>
      <x:c r="AG278" s="26"/>
      <x:c r="AH278" s="26"/>
      <x:c r="AI278" s="26"/>
      <x:c r="AJ278" s="26"/>
      <x:c r="AK278" s="26"/>
      <x:c r="AL278" s="26"/>
      <x:c r="AM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  <x:c r="AA279" s="26"/>
      <x:c r="AB279" s="26"/>
      <x:c r="AC279" s="26"/>
      <x:c r="AD279" s="26"/>
      <x:c r="AE279" s="26"/>
      <x:c r="AF279" s="26"/>
      <x:c r="AG279" s="26"/>
      <x:c r="AH279" s="26"/>
      <x:c r="AI279" s="26"/>
      <x:c r="AJ279" s="26"/>
      <x:c r="AK279" s="26"/>
      <x:c r="AL279" s="26"/>
      <x:c r="AM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  <x:c r="AA280" s="26"/>
      <x:c r="AB280" s="26"/>
      <x:c r="AC280" s="26"/>
      <x:c r="AD280" s="26"/>
      <x:c r="AE280" s="26"/>
      <x:c r="AF280" s="26"/>
      <x:c r="AG280" s="26"/>
      <x:c r="AH280" s="26"/>
      <x:c r="AI280" s="26"/>
      <x:c r="AJ280" s="26"/>
      <x:c r="AK280" s="26"/>
      <x:c r="AL280" s="26"/>
      <x:c r="AM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  <x:c r="AA281" s="26"/>
      <x:c r="AB281" s="26"/>
      <x:c r="AC281" s="26"/>
      <x:c r="AD281" s="26"/>
      <x:c r="AE281" s="26"/>
      <x:c r="AF281" s="26"/>
      <x:c r="AG281" s="26"/>
      <x:c r="AH281" s="26"/>
      <x:c r="AI281" s="26"/>
      <x:c r="AJ281" s="26"/>
      <x:c r="AK281" s="26"/>
      <x:c r="AL281" s="26"/>
      <x:c r="AM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  <x:c r="AA282" s="26"/>
      <x:c r="AB282" s="26"/>
      <x:c r="AC282" s="26"/>
      <x:c r="AD282" s="26"/>
      <x:c r="AE282" s="26"/>
      <x:c r="AF282" s="26"/>
      <x:c r="AG282" s="26"/>
      <x:c r="AH282" s="26"/>
      <x:c r="AI282" s="26"/>
      <x:c r="AJ282" s="26"/>
      <x:c r="AK282" s="26"/>
      <x:c r="AL282" s="26"/>
      <x:c r="AM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  <x:c r="AA283" s="26"/>
      <x:c r="AB283" s="26"/>
      <x:c r="AC283" s="26"/>
      <x:c r="AD283" s="26"/>
      <x:c r="AE283" s="26"/>
      <x:c r="AF283" s="26"/>
      <x:c r="AG283" s="26"/>
      <x:c r="AH283" s="26"/>
      <x:c r="AI283" s="26"/>
      <x:c r="AJ283" s="26"/>
      <x:c r="AK283" s="26"/>
      <x:c r="AL283" s="26"/>
      <x:c r="AM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  <x:c r="AA284" s="26"/>
      <x:c r="AB284" s="26"/>
      <x:c r="AC284" s="26"/>
      <x:c r="AD284" s="26"/>
      <x:c r="AE284" s="26"/>
      <x:c r="AF284" s="26"/>
      <x:c r="AG284" s="26"/>
      <x:c r="AH284" s="26"/>
      <x:c r="AI284" s="26"/>
      <x:c r="AJ284" s="26"/>
      <x:c r="AK284" s="26"/>
      <x:c r="AL284" s="26"/>
      <x:c r="AM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  <x:c r="AA285" s="26"/>
      <x:c r="AB285" s="26"/>
      <x:c r="AC285" s="26"/>
      <x:c r="AD285" s="26"/>
      <x:c r="AE285" s="26"/>
      <x:c r="AF285" s="26"/>
      <x:c r="AG285" s="26"/>
      <x:c r="AH285" s="26"/>
      <x:c r="AI285" s="26"/>
      <x:c r="AJ285" s="26"/>
      <x:c r="AK285" s="26"/>
      <x:c r="AL285" s="26"/>
      <x:c r="AM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  <x:c r="AA286" s="26"/>
      <x:c r="AB286" s="26"/>
      <x:c r="AC286" s="26"/>
      <x:c r="AD286" s="26"/>
      <x:c r="AE286" s="26"/>
      <x:c r="AF286" s="26"/>
      <x:c r="AG286" s="26"/>
      <x:c r="AH286" s="26"/>
      <x:c r="AI286" s="26"/>
      <x:c r="AJ286" s="26"/>
      <x:c r="AK286" s="26"/>
      <x:c r="AL286" s="26"/>
      <x:c r="AM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  <x:c r="AA287" s="26"/>
      <x:c r="AB287" s="26"/>
      <x:c r="AC287" s="26"/>
      <x:c r="AD287" s="26"/>
      <x:c r="AE287" s="26"/>
      <x:c r="AF287" s="26"/>
      <x:c r="AG287" s="26"/>
      <x:c r="AH287" s="26"/>
      <x:c r="AI287" s="26"/>
      <x:c r="AJ287" s="26"/>
      <x:c r="AK287" s="26"/>
      <x:c r="AL287" s="26"/>
      <x:c r="AM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  <x:c r="AA288" s="26"/>
      <x:c r="AB288" s="26"/>
      <x:c r="AC288" s="26"/>
      <x:c r="AD288" s="26"/>
      <x:c r="AE288" s="26"/>
      <x:c r="AF288" s="26"/>
      <x:c r="AG288" s="26"/>
      <x:c r="AH288" s="26"/>
      <x:c r="AI288" s="26"/>
      <x:c r="AJ288" s="26"/>
      <x:c r="AK288" s="26"/>
      <x:c r="AL288" s="26"/>
      <x:c r="AM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  <x:c r="AA289" s="26"/>
      <x:c r="AB289" s="26"/>
      <x:c r="AC289" s="26"/>
      <x:c r="AD289" s="26"/>
      <x:c r="AE289" s="26"/>
      <x:c r="AF289" s="26"/>
      <x:c r="AG289" s="26"/>
      <x:c r="AH289" s="26"/>
      <x:c r="AI289" s="26"/>
      <x:c r="AJ289" s="26"/>
      <x:c r="AK289" s="26"/>
      <x:c r="AL289" s="26"/>
      <x:c r="AM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  <x:c r="AA290" s="26"/>
      <x:c r="AB290" s="26"/>
      <x:c r="AC290" s="26"/>
      <x:c r="AD290" s="26"/>
      <x:c r="AE290" s="26"/>
      <x:c r="AF290" s="26"/>
      <x:c r="AG290" s="26"/>
      <x:c r="AH290" s="26"/>
      <x:c r="AI290" s="26"/>
      <x:c r="AJ290" s="26"/>
      <x:c r="AK290" s="26"/>
      <x:c r="AL290" s="26"/>
      <x:c r="AM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  <x:c r="AA291" s="26"/>
      <x:c r="AB291" s="26"/>
      <x:c r="AC291" s="26"/>
      <x:c r="AD291" s="26"/>
      <x:c r="AE291" s="26"/>
      <x:c r="AF291" s="26"/>
      <x:c r="AG291" s="26"/>
      <x:c r="AH291" s="26"/>
      <x:c r="AI291" s="26"/>
      <x:c r="AJ291" s="26"/>
      <x:c r="AK291" s="26"/>
      <x:c r="AL291" s="26"/>
      <x:c r="AM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  <x:c r="AA292" s="26"/>
      <x:c r="AB292" s="26"/>
      <x:c r="AC292" s="26"/>
      <x:c r="AD292" s="26"/>
      <x:c r="AE292" s="26"/>
      <x:c r="AF292" s="26"/>
      <x:c r="AG292" s="26"/>
      <x:c r="AH292" s="26"/>
      <x:c r="AI292" s="26"/>
      <x:c r="AJ292" s="26"/>
      <x:c r="AK292" s="26"/>
      <x:c r="AL292" s="26"/>
      <x:c r="AM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  <x:c r="AA293" s="26"/>
      <x:c r="AB293" s="26"/>
      <x:c r="AC293" s="26"/>
      <x:c r="AD293" s="26"/>
      <x:c r="AE293" s="26"/>
      <x:c r="AF293" s="26"/>
      <x:c r="AG293" s="26"/>
      <x:c r="AH293" s="26"/>
      <x:c r="AI293" s="26"/>
      <x:c r="AJ293" s="26"/>
      <x:c r="AK293" s="26"/>
      <x:c r="AL293" s="26"/>
      <x:c r="AM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  <x:c r="AA294" s="26"/>
      <x:c r="AB294" s="26"/>
      <x:c r="AC294" s="26"/>
      <x:c r="AD294" s="26"/>
      <x:c r="AE294" s="26"/>
      <x:c r="AF294" s="26"/>
      <x:c r="AG294" s="26"/>
      <x:c r="AH294" s="26"/>
      <x:c r="AI294" s="26"/>
      <x:c r="AJ294" s="26"/>
      <x:c r="AK294" s="26"/>
      <x:c r="AL294" s="26"/>
      <x:c r="AM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  <x:c r="AA295" s="26"/>
      <x:c r="AB295" s="26"/>
      <x:c r="AC295" s="26"/>
      <x:c r="AD295" s="26"/>
      <x:c r="AE295" s="26"/>
      <x:c r="AF295" s="26"/>
      <x:c r="AG295" s="26"/>
      <x:c r="AH295" s="26"/>
      <x:c r="AI295" s="26"/>
      <x:c r="AJ295" s="26"/>
      <x:c r="AK295" s="26"/>
      <x:c r="AL295" s="26"/>
      <x:c r="AM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  <x:c r="AA296" s="26"/>
      <x:c r="AB296" s="26"/>
      <x:c r="AC296" s="26"/>
      <x:c r="AD296" s="26"/>
      <x:c r="AE296" s="26"/>
      <x:c r="AF296" s="26"/>
      <x:c r="AG296" s="26"/>
      <x:c r="AH296" s="26"/>
      <x:c r="AI296" s="26"/>
      <x:c r="AJ296" s="26"/>
      <x:c r="AK296" s="26"/>
      <x:c r="AL296" s="26"/>
      <x:c r="AM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  <x:c r="AA297" s="26"/>
      <x:c r="AB297" s="26"/>
      <x:c r="AC297" s="26"/>
      <x:c r="AD297" s="26"/>
      <x:c r="AE297" s="26"/>
      <x:c r="AF297" s="26"/>
      <x:c r="AG297" s="26"/>
      <x:c r="AH297" s="26"/>
      <x:c r="AI297" s="26"/>
      <x:c r="AJ297" s="26"/>
      <x:c r="AK297" s="26"/>
      <x:c r="AL297" s="26"/>
      <x:c r="AM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  <x:c r="AA298" s="26"/>
      <x:c r="AB298" s="26"/>
      <x:c r="AC298" s="26"/>
      <x:c r="AD298" s="26"/>
      <x:c r="AE298" s="26"/>
      <x:c r="AF298" s="26"/>
      <x:c r="AG298" s="26"/>
      <x:c r="AH298" s="26"/>
      <x:c r="AI298" s="26"/>
      <x:c r="AJ298" s="26"/>
      <x:c r="AK298" s="26"/>
      <x:c r="AL298" s="26"/>
      <x:c r="AM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  <x:c r="AA299" s="26"/>
      <x:c r="AB299" s="26"/>
      <x:c r="AC299" s="26"/>
      <x:c r="AD299" s="26"/>
      <x:c r="AE299" s="26"/>
      <x:c r="AF299" s="26"/>
      <x:c r="AG299" s="26"/>
      <x:c r="AH299" s="26"/>
      <x:c r="AI299" s="26"/>
      <x:c r="AJ299" s="26"/>
      <x:c r="AK299" s="26"/>
      <x:c r="AL299" s="26"/>
      <x:c r="AM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  <x:c r="AA300" s="26"/>
      <x:c r="AB300" s="26"/>
      <x:c r="AC300" s="26"/>
      <x:c r="AD300" s="26"/>
      <x:c r="AE300" s="26"/>
      <x:c r="AF300" s="26"/>
      <x:c r="AG300" s="26"/>
      <x:c r="AH300" s="26"/>
      <x:c r="AI300" s="26"/>
      <x:c r="AJ300" s="26"/>
      <x:c r="AK300" s="26"/>
      <x:c r="AL300" s="26"/>
      <x:c r="AM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  <x:c r="AA301" s="26"/>
      <x:c r="AB301" s="26"/>
      <x:c r="AC301" s="26"/>
      <x:c r="AD301" s="26"/>
      <x:c r="AE301" s="26"/>
      <x:c r="AF301" s="26"/>
      <x:c r="AG301" s="26"/>
      <x:c r="AH301" s="26"/>
      <x:c r="AI301" s="26"/>
      <x:c r="AJ301" s="26"/>
      <x:c r="AK301" s="26"/>
      <x:c r="AL301" s="26"/>
      <x:c r="AM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  <x:c r="AA302" s="26"/>
      <x:c r="AB302" s="26"/>
      <x:c r="AC302" s="26"/>
      <x:c r="AD302" s="26"/>
      <x:c r="AE302" s="26"/>
      <x:c r="AF302" s="26"/>
      <x:c r="AG302" s="26"/>
      <x:c r="AH302" s="26"/>
      <x:c r="AI302" s="26"/>
      <x:c r="AJ302" s="26"/>
      <x:c r="AK302" s="26"/>
      <x:c r="AL302" s="26"/>
      <x:c r="AM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  <x:c r="AA303" s="26"/>
      <x:c r="AB303" s="26"/>
      <x:c r="AC303" s="26"/>
      <x:c r="AD303" s="26"/>
      <x:c r="AE303" s="26"/>
      <x:c r="AF303" s="26"/>
      <x:c r="AG303" s="26"/>
      <x:c r="AH303" s="26"/>
      <x:c r="AI303" s="26"/>
      <x:c r="AJ303" s="26"/>
      <x:c r="AK303" s="26"/>
      <x:c r="AL303" s="26"/>
      <x:c r="AM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  <x:c r="AA304" s="26"/>
      <x:c r="AB304" s="26"/>
      <x:c r="AC304" s="26"/>
      <x:c r="AD304" s="26"/>
      <x:c r="AE304" s="26"/>
      <x:c r="AF304" s="26"/>
      <x:c r="AG304" s="26"/>
      <x:c r="AH304" s="26"/>
      <x:c r="AI304" s="26"/>
      <x:c r="AJ304" s="26"/>
      <x:c r="AK304" s="26"/>
      <x:c r="AL304" s="26"/>
      <x:c r="AM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  <x:c r="AA305" s="26"/>
      <x:c r="AB305" s="26"/>
      <x:c r="AC305" s="26"/>
      <x:c r="AD305" s="26"/>
      <x:c r="AE305" s="26"/>
      <x:c r="AF305" s="26"/>
      <x:c r="AG305" s="26"/>
      <x:c r="AH305" s="26"/>
      <x:c r="AI305" s="26"/>
      <x:c r="AJ305" s="26"/>
      <x:c r="AK305" s="26"/>
      <x:c r="AL305" s="26"/>
      <x:c r="AM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  <x:c r="AA306" s="26"/>
      <x:c r="AB306" s="26"/>
      <x:c r="AC306" s="26"/>
      <x:c r="AD306" s="26"/>
      <x:c r="AE306" s="26"/>
      <x:c r="AF306" s="26"/>
      <x:c r="AG306" s="26"/>
      <x:c r="AH306" s="26"/>
      <x:c r="AI306" s="26"/>
      <x:c r="AJ306" s="26"/>
      <x:c r="AK306" s="26"/>
      <x:c r="AL306" s="26"/>
      <x:c r="AM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  <x:c r="AA307" s="26"/>
      <x:c r="AB307" s="26"/>
      <x:c r="AC307" s="26"/>
      <x:c r="AD307" s="26"/>
      <x:c r="AE307" s="26"/>
      <x:c r="AF307" s="26"/>
      <x:c r="AG307" s="26"/>
      <x:c r="AH307" s="26"/>
      <x:c r="AI307" s="26"/>
      <x:c r="AJ307" s="26"/>
      <x:c r="AK307" s="26"/>
      <x:c r="AL307" s="26"/>
      <x:c r="AM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  <x:c r="AA308" s="26"/>
      <x:c r="AB308" s="26"/>
      <x:c r="AC308" s="26"/>
      <x:c r="AD308" s="26"/>
      <x:c r="AE308" s="26"/>
      <x:c r="AF308" s="26"/>
      <x:c r="AG308" s="26"/>
      <x:c r="AH308" s="26"/>
      <x:c r="AI308" s="26"/>
      <x:c r="AJ308" s="26"/>
      <x:c r="AK308" s="26"/>
      <x:c r="AL308" s="26"/>
      <x:c r="AM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  <x:c r="AA309" s="26"/>
      <x:c r="AB309" s="26"/>
      <x:c r="AC309" s="26"/>
      <x:c r="AD309" s="26"/>
      <x:c r="AE309" s="26"/>
      <x:c r="AF309" s="26"/>
      <x:c r="AG309" s="26"/>
      <x:c r="AH309" s="26"/>
      <x:c r="AI309" s="26"/>
      <x:c r="AJ309" s="26"/>
      <x:c r="AK309" s="26"/>
      <x:c r="AL309" s="26"/>
      <x:c r="AM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  <x:c r="AA310" s="26"/>
      <x:c r="AB310" s="26"/>
      <x:c r="AC310" s="26"/>
      <x:c r="AD310" s="26"/>
      <x:c r="AE310" s="26"/>
      <x:c r="AF310" s="26"/>
      <x:c r="AG310" s="26"/>
      <x:c r="AH310" s="26"/>
      <x:c r="AI310" s="26"/>
      <x:c r="AJ310" s="26"/>
      <x:c r="AK310" s="26"/>
      <x:c r="AL310" s="26"/>
      <x:c r="AM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  <x:c r="AA311" s="26"/>
      <x:c r="AB311" s="26"/>
      <x:c r="AC311" s="26"/>
      <x:c r="AD311" s="26"/>
      <x:c r="AE311" s="26"/>
      <x:c r="AF311" s="26"/>
      <x:c r="AG311" s="26"/>
      <x:c r="AH311" s="26"/>
      <x:c r="AI311" s="26"/>
      <x:c r="AJ311" s="26"/>
      <x:c r="AK311" s="26"/>
      <x:c r="AL311" s="26"/>
      <x:c r="AM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  <x:c r="AA312" s="26"/>
      <x:c r="AB312" s="26"/>
      <x:c r="AC312" s="26"/>
      <x:c r="AD312" s="26"/>
      <x:c r="AE312" s="26"/>
      <x:c r="AF312" s="26"/>
      <x:c r="AG312" s="26"/>
      <x:c r="AH312" s="26"/>
      <x:c r="AI312" s="26"/>
      <x:c r="AJ312" s="26"/>
      <x:c r="AK312" s="26"/>
      <x:c r="AL312" s="26"/>
      <x:c r="AM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  <x:c r="AA313" s="26"/>
      <x:c r="AB313" s="26"/>
      <x:c r="AC313" s="26"/>
      <x:c r="AD313" s="26"/>
      <x:c r="AE313" s="26"/>
      <x:c r="AF313" s="26"/>
      <x:c r="AG313" s="26"/>
      <x:c r="AH313" s="26"/>
      <x:c r="AI313" s="26"/>
      <x:c r="AJ313" s="26"/>
      <x:c r="AK313" s="26"/>
      <x:c r="AL313" s="26"/>
      <x:c r="AM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  <x:c r="AA314" s="26"/>
      <x:c r="AB314" s="26"/>
      <x:c r="AC314" s="26"/>
      <x:c r="AD314" s="26"/>
      <x:c r="AE314" s="26"/>
      <x:c r="AF314" s="26"/>
      <x:c r="AG314" s="26"/>
      <x:c r="AH314" s="26"/>
      <x:c r="AI314" s="26"/>
      <x:c r="AJ314" s="26"/>
      <x:c r="AK314" s="26"/>
      <x:c r="AL314" s="26"/>
      <x:c r="AM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  <x:c r="AA315" s="26"/>
      <x:c r="AB315" s="26"/>
      <x:c r="AC315" s="26"/>
      <x:c r="AD315" s="26"/>
      <x:c r="AE315" s="26"/>
      <x:c r="AF315" s="26"/>
      <x:c r="AG315" s="26"/>
      <x:c r="AH315" s="26"/>
      <x:c r="AI315" s="26"/>
      <x:c r="AJ315" s="26"/>
      <x:c r="AK315" s="26"/>
      <x:c r="AL315" s="26"/>
      <x:c r="AM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  <x:c r="AA316" s="26"/>
      <x:c r="AB316" s="26"/>
      <x:c r="AC316" s="26"/>
      <x:c r="AD316" s="26"/>
      <x:c r="AE316" s="26"/>
      <x:c r="AF316" s="26"/>
      <x:c r="AG316" s="26"/>
      <x:c r="AH316" s="26"/>
      <x:c r="AI316" s="26"/>
      <x:c r="AJ316" s="26"/>
      <x:c r="AK316" s="26"/>
      <x:c r="AL316" s="26"/>
      <x:c r="AM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  <x:c r="AA317" s="26"/>
      <x:c r="AB317" s="26"/>
      <x:c r="AC317" s="26"/>
      <x:c r="AD317" s="26"/>
      <x:c r="AE317" s="26"/>
      <x:c r="AF317" s="26"/>
      <x:c r="AG317" s="26"/>
      <x:c r="AH317" s="26"/>
      <x:c r="AI317" s="26"/>
      <x:c r="AJ317" s="26"/>
      <x:c r="AK317" s="26"/>
      <x:c r="AL317" s="26"/>
      <x:c r="AM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  <x:c r="AA318" s="26"/>
      <x:c r="AB318" s="26"/>
      <x:c r="AC318" s="26"/>
      <x:c r="AD318" s="26"/>
      <x:c r="AE318" s="26"/>
      <x:c r="AF318" s="26"/>
      <x:c r="AG318" s="26"/>
      <x:c r="AH318" s="26"/>
      <x:c r="AI318" s="26"/>
      <x:c r="AJ318" s="26"/>
      <x:c r="AK318" s="26"/>
      <x:c r="AL318" s="26"/>
      <x:c r="AM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  <x:c r="AA319" s="26"/>
      <x:c r="AB319" s="26"/>
      <x:c r="AC319" s="26"/>
      <x:c r="AD319" s="26"/>
      <x:c r="AE319" s="26"/>
      <x:c r="AF319" s="26"/>
      <x:c r="AG319" s="26"/>
      <x:c r="AH319" s="26"/>
      <x:c r="AI319" s="26"/>
      <x:c r="AJ319" s="26"/>
      <x:c r="AK319" s="26"/>
      <x:c r="AL319" s="26"/>
      <x:c r="AM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  <x:c r="AA320" s="26"/>
      <x:c r="AB320" s="26"/>
      <x:c r="AC320" s="26"/>
      <x:c r="AD320" s="26"/>
      <x:c r="AE320" s="26"/>
      <x:c r="AF320" s="26"/>
      <x:c r="AG320" s="26"/>
      <x:c r="AH320" s="26"/>
      <x:c r="AI320" s="26"/>
      <x:c r="AJ320" s="26"/>
      <x:c r="AK320" s="26"/>
      <x:c r="AL320" s="26"/>
      <x:c r="AM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  <x:c r="AA321" s="26"/>
      <x:c r="AB321" s="26"/>
      <x:c r="AC321" s="26"/>
      <x:c r="AD321" s="26"/>
      <x:c r="AE321" s="26"/>
      <x:c r="AF321" s="26"/>
      <x:c r="AG321" s="26"/>
      <x:c r="AH321" s="26"/>
      <x:c r="AI321" s="26"/>
      <x:c r="AJ321" s="26"/>
      <x:c r="AK321" s="26"/>
      <x:c r="AL321" s="26"/>
      <x:c r="AM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  <x:c r="AA322" s="26"/>
      <x:c r="AB322" s="26"/>
      <x:c r="AC322" s="26"/>
      <x:c r="AD322" s="26"/>
      <x:c r="AE322" s="26"/>
      <x:c r="AF322" s="26"/>
      <x:c r="AG322" s="26"/>
      <x:c r="AH322" s="26"/>
      <x:c r="AI322" s="26"/>
      <x:c r="AJ322" s="26"/>
      <x:c r="AK322" s="26"/>
      <x:c r="AL322" s="26"/>
      <x:c r="AM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  <x:c r="AA323" s="26"/>
      <x:c r="AB323" s="26"/>
      <x:c r="AC323" s="26"/>
      <x:c r="AD323" s="26"/>
      <x:c r="AE323" s="26"/>
      <x:c r="AF323" s="26"/>
      <x:c r="AG323" s="26"/>
      <x:c r="AH323" s="26"/>
      <x:c r="AI323" s="26"/>
      <x:c r="AJ323" s="26"/>
      <x:c r="AK323" s="26"/>
      <x:c r="AL323" s="26"/>
      <x:c r="AM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  <x:c r="AA324" s="26"/>
      <x:c r="AB324" s="26"/>
      <x:c r="AC324" s="26"/>
      <x:c r="AD324" s="26"/>
      <x:c r="AE324" s="26"/>
      <x:c r="AF324" s="26"/>
      <x:c r="AG324" s="26"/>
      <x:c r="AH324" s="26"/>
      <x:c r="AI324" s="26"/>
      <x:c r="AJ324" s="26"/>
      <x:c r="AK324" s="26"/>
      <x:c r="AL324" s="26"/>
      <x:c r="AM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  <x:c r="AA325" s="26"/>
      <x:c r="AB325" s="26"/>
      <x:c r="AC325" s="26"/>
      <x:c r="AD325" s="26"/>
      <x:c r="AE325" s="26"/>
      <x:c r="AF325" s="26"/>
      <x:c r="AG325" s="26"/>
      <x:c r="AH325" s="26"/>
      <x:c r="AI325" s="26"/>
      <x:c r="AJ325" s="26"/>
      <x:c r="AK325" s="26"/>
      <x:c r="AL325" s="26"/>
      <x:c r="AM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  <x:c r="AA326" s="26"/>
      <x:c r="AB326" s="26"/>
      <x:c r="AC326" s="26"/>
      <x:c r="AD326" s="26"/>
      <x:c r="AE326" s="26"/>
      <x:c r="AF326" s="26"/>
      <x:c r="AG326" s="26"/>
      <x:c r="AH326" s="26"/>
      <x:c r="AI326" s="26"/>
      <x:c r="AJ326" s="26"/>
      <x:c r="AK326" s="26"/>
      <x:c r="AL326" s="26"/>
      <x:c r="AM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  <x:c r="AA327" s="26"/>
      <x:c r="AB327" s="26"/>
      <x:c r="AC327" s="26"/>
      <x:c r="AD327" s="26"/>
      <x:c r="AE327" s="26"/>
      <x:c r="AF327" s="26"/>
      <x:c r="AG327" s="26"/>
      <x:c r="AH327" s="26"/>
      <x:c r="AI327" s="26"/>
      <x:c r="AJ327" s="26"/>
      <x:c r="AK327" s="26"/>
      <x:c r="AL327" s="26"/>
      <x:c r="AM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  <x:c r="AA328" s="26"/>
      <x:c r="AB328" s="26"/>
      <x:c r="AC328" s="26"/>
      <x:c r="AD328" s="26"/>
      <x:c r="AE328" s="26"/>
      <x:c r="AF328" s="26"/>
      <x:c r="AG328" s="26"/>
      <x:c r="AH328" s="26"/>
      <x:c r="AI328" s="26"/>
      <x:c r="AJ328" s="26"/>
      <x:c r="AK328" s="26"/>
      <x:c r="AL328" s="26"/>
      <x:c r="AM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  <x:c r="AA329" s="26"/>
      <x:c r="AB329" s="26"/>
      <x:c r="AC329" s="26"/>
      <x:c r="AD329" s="26"/>
      <x:c r="AE329" s="26"/>
      <x:c r="AF329" s="26"/>
      <x:c r="AG329" s="26"/>
      <x:c r="AH329" s="26"/>
      <x:c r="AI329" s="26"/>
      <x:c r="AJ329" s="26"/>
      <x:c r="AK329" s="26"/>
      <x:c r="AL329" s="26"/>
      <x:c r="AM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  <x:c r="AA330" s="26"/>
      <x:c r="AB330" s="26"/>
      <x:c r="AC330" s="26"/>
      <x:c r="AD330" s="26"/>
      <x:c r="AE330" s="26"/>
      <x:c r="AF330" s="26"/>
      <x:c r="AG330" s="26"/>
      <x:c r="AH330" s="26"/>
      <x:c r="AI330" s="26"/>
      <x:c r="AJ330" s="26"/>
      <x:c r="AK330" s="26"/>
      <x:c r="AL330" s="26"/>
      <x:c r="AM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  <x:c r="AA331" s="26"/>
      <x:c r="AB331" s="26"/>
      <x:c r="AC331" s="26"/>
      <x:c r="AD331" s="26"/>
      <x:c r="AE331" s="26"/>
      <x:c r="AF331" s="26"/>
      <x:c r="AG331" s="26"/>
      <x:c r="AH331" s="26"/>
      <x:c r="AI331" s="26"/>
      <x:c r="AJ331" s="26"/>
      <x:c r="AK331" s="26"/>
      <x:c r="AL331" s="26"/>
      <x:c r="AM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  <x:c r="AA332" s="26"/>
      <x:c r="AB332" s="26"/>
      <x:c r="AC332" s="26"/>
      <x:c r="AD332" s="26"/>
      <x:c r="AE332" s="26"/>
      <x:c r="AF332" s="26"/>
      <x:c r="AG332" s="26"/>
      <x:c r="AH332" s="26"/>
      <x:c r="AI332" s="26"/>
      <x:c r="AJ332" s="26"/>
      <x:c r="AK332" s="26"/>
      <x:c r="AL332" s="26"/>
      <x:c r="AM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  <x:c r="AA333" s="26"/>
      <x:c r="AB333" s="26"/>
      <x:c r="AC333" s="26"/>
      <x:c r="AD333" s="26"/>
      <x:c r="AE333" s="26"/>
      <x:c r="AF333" s="26"/>
      <x:c r="AG333" s="26"/>
      <x:c r="AH333" s="26"/>
      <x:c r="AI333" s="26"/>
      <x:c r="AJ333" s="26"/>
      <x:c r="AK333" s="26"/>
      <x:c r="AL333" s="26"/>
      <x:c r="AM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  <x:c r="AA334" s="26"/>
      <x:c r="AB334" s="26"/>
      <x:c r="AC334" s="26"/>
      <x:c r="AD334" s="26"/>
      <x:c r="AE334" s="26"/>
      <x:c r="AF334" s="26"/>
      <x:c r="AG334" s="26"/>
      <x:c r="AH334" s="26"/>
      <x:c r="AI334" s="26"/>
      <x:c r="AJ334" s="26"/>
      <x:c r="AK334" s="26"/>
      <x:c r="AL334" s="26"/>
      <x:c r="AM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  <x:c r="AA335" s="26"/>
      <x:c r="AB335" s="26"/>
      <x:c r="AC335" s="26"/>
      <x:c r="AD335" s="26"/>
      <x:c r="AE335" s="26"/>
      <x:c r="AF335" s="26"/>
      <x:c r="AG335" s="26"/>
      <x:c r="AH335" s="26"/>
      <x:c r="AI335" s="26"/>
      <x:c r="AJ335" s="26"/>
      <x:c r="AK335" s="26"/>
      <x:c r="AL335" s="26"/>
      <x:c r="AM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  <x:c r="AA336" s="26"/>
      <x:c r="AB336" s="26"/>
      <x:c r="AC336" s="26"/>
      <x:c r="AD336" s="26"/>
      <x:c r="AE336" s="26"/>
      <x:c r="AF336" s="26"/>
      <x:c r="AG336" s="26"/>
      <x:c r="AH336" s="26"/>
      <x:c r="AI336" s="26"/>
      <x:c r="AJ336" s="26"/>
      <x:c r="AK336" s="26"/>
      <x:c r="AL336" s="26"/>
      <x:c r="AM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  <x:c r="AA337" s="26"/>
      <x:c r="AB337" s="26"/>
      <x:c r="AC337" s="26"/>
      <x:c r="AD337" s="26"/>
      <x:c r="AE337" s="26"/>
      <x:c r="AF337" s="26"/>
      <x:c r="AG337" s="26"/>
      <x:c r="AH337" s="26"/>
      <x:c r="AI337" s="26"/>
      <x:c r="AJ337" s="26"/>
      <x:c r="AK337" s="26"/>
      <x:c r="AL337" s="26"/>
      <x:c r="AM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  <x:c r="AA338" s="26"/>
      <x:c r="AB338" s="26"/>
      <x:c r="AC338" s="26"/>
      <x:c r="AD338" s="26"/>
      <x:c r="AE338" s="26"/>
      <x:c r="AF338" s="26"/>
      <x:c r="AG338" s="26"/>
      <x:c r="AH338" s="26"/>
      <x:c r="AI338" s="26"/>
      <x:c r="AJ338" s="26"/>
      <x:c r="AK338" s="26"/>
      <x:c r="AL338" s="26"/>
      <x:c r="AM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  <x:c r="AA339" s="26"/>
      <x:c r="AB339" s="26"/>
      <x:c r="AC339" s="26"/>
      <x:c r="AD339" s="26"/>
      <x:c r="AE339" s="26"/>
      <x:c r="AF339" s="26"/>
      <x:c r="AG339" s="26"/>
      <x:c r="AH339" s="26"/>
      <x:c r="AI339" s="26"/>
      <x:c r="AJ339" s="26"/>
      <x:c r="AK339" s="26"/>
      <x:c r="AL339" s="26"/>
      <x:c r="AM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  <x:c r="AA340" s="26"/>
      <x:c r="AB340" s="26"/>
      <x:c r="AC340" s="26"/>
      <x:c r="AD340" s="26"/>
      <x:c r="AE340" s="26"/>
      <x:c r="AF340" s="26"/>
      <x:c r="AG340" s="26"/>
      <x:c r="AH340" s="26"/>
      <x:c r="AI340" s="26"/>
      <x:c r="AJ340" s="26"/>
      <x:c r="AK340" s="26"/>
      <x:c r="AL340" s="26"/>
      <x:c r="AM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  <x:c r="AA341" s="26"/>
      <x:c r="AB341" s="26"/>
      <x:c r="AC341" s="26"/>
      <x:c r="AD341" s="26"/>
      <x:c r="AE341" s="26"/>
      <x:c r="AF341" s="26"/>
      <x:c r="AG341" s="26"/>
      <x:c r="AH341" s="26"/>
      <x:c r="AI341" s="26"/>
      <x:c r="AJ341" s="26"/>
      <x:c r="AK341" s="26"/>
      <x:c r="AL341" s="26"/>
      <x:c r="AM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  <x:c r="AA342" s="26"/>
      <x:c r="AB342" s="26"/>
      <x:c r="AC342" s="26"/>
      <x:c r="AD342" s="26"/>
      <x:c r="AE342" s="26"/>
      <x:c r="AF342" s="26"/>
      <x:c r="AG342" s="26"/>
      <x:c r="AH342" s="26"/>
      <x:c r="AI342" s="26"/>
      <x:c r="AJ342" s="26"/>
      <x:c r="AK342" s="26"/>
      <x:c r="AL342" s="26"/>
      <x:c r="AM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  <x:c r="AA343" s="26"/>
      <x:c r="AB343" s="26"/>
      <x:c r="AC343" s="26"/>
      <x:c r="AD343" s="26"/>
      <x:c r="AE343" s="26"/>
      <x:c r="AF343" s="26"/>
      <x:c r="AG343" s="26"/>
      <x:c r="AH343" s="26"/>
      <x:c r="AI343" s="26"/>
      <x:c r="AJ343" s="26"/>
      <x:c r="AK343" s="26"/>
      <x:c r="AL343" s="26"/>
      <x:c r="AM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  <x:c r="AA344" s="26"/>
      <x:c r="AB344" s="26"/>
      <x:c r="AC344" s="26"/>
      <x:c r="AD344" s="26"/>
      <x:c r="AE344" s="26"/>
      <x:c r="AF344" s="26"/>
      <x:c r="AG344" s="26"/>
      <x:c r="AH344" s="26"/>
      <x:c r="AI344" s="26"/>
      <x:c r="AJ344" s="26"/>
      <x:c r="AK344" s="26"/>
      <x:c r="AL344" s="26"/>
      <x:c r="AM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  <x:c r="AA345" s="26"/>
      <x:c r="AB345" s="26"/>
      <x:c r="AC345" s="26"/>
      <x:c r="AD345" s="26"/>
      <x:c r="AE345" s="26"/>
      <x:c r="AF345" s="26"/>
      <x:c r="AG345" s="26"/>
      <x:c r="AH345" s="26"/>
      <x:c r="AI345" s="26"/>
      <x:c r="AJ345" s="26"/>
      <x:c r="AK345" s="26"/>
      <x:c r="AL345" s="26"/>
      <x:c r="AM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  <x:c r="AA346" s="26"/>
      <x:c r="AB346" s="26"/>
      <x:c r="AC346" s="26"/>
      <x:c r="AD346" s="26"/>
      <x:c r="AE346" s="26"/>
      <x:c r="AF346" s="26"/>
      <x:c r="AG346" s="26"/>
      <x:c r="AH346" s="26"/>
      <x:c r="AI346" s="26"/>
      <x:c r="AJ346" s="26"/>
      <x:c r="AK346" s="26"/>
      <x:c r="AL346" s="26"/>
      <x:c r="AM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  <x:c r="AA347" s="26"/>
      <x:c r="AB347" s="26"/>
      <x:c r="AC347" s="26"/>
      <x:c r="AD347" s="26"/>
      <x:c r="AE347" s="26"/>
      <x:c r="AF347" s="26"/>
      <x:c r="AG347" s="26"/>
      <x:c r="AH347" s="26"/>
      <x:c r="AI347" s="26"/>
      <x:c r="AJ347" s="26"/>
      <x:c r="AK347" s="26"/>
      <x:c r="AL347" s="26"/>
      <x:c r="AM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  <x:c r="AA348" s="26"/>
      <x:c r="AB348" s="26"/>
      <x:c r="AC348" s="26"/>
      <x:c r="AD348" s="26"/>
      <x:c r="AE348" s="26"/>
      <x:c r="AF348" s="26"/>
      <x:c r="AG348" s="26"/>
      <x:c r="AH348" s="26"/>
      <x:c r="AI348" s="26"/>
      <x:c r="AJ348" s="26"/>
      <x:c r="AK348" s="26"/>
      <x:c r="AL348" s="26"/>
      <x:c r="AM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  <x:c r="AA349" s="26"/>
      <x:c r="AB349" s="26"/>
      <x:c r="AC349" s="26"/>
      <x:c r="AD349" s="26"/>
      <x:c r="AE349" s="26"/>
      <x:c r="AF349" s="26"/>
      <x:c r="AG349" s="26"/>
      <x:c r="AH349" s="26"/>
      <x:c r="AI349" s="26"/>
      <x:c r="AJ349" s="26"/>
      <x:c r="AK349" s="26"/>
      <x:c r="AL349" s="26"/>
      <x:c r="AM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  <x:c r="AA350" s="26"/>
      <x:c r="AB350" s="26"/>
      <x:c r="AC350" s="26"/>
      <x:c r="AD350" s="26"/>
      <x:c r="AE350" s="26"/>
      <x:c r="AF350" s="26"/>
      <x:c r="AG350" s="26"/>
      <x:c r="AH350" s="26"/>
      <x:c r="AI350" s="26"/>
      <x:c r="AJ350" s="26"/>
      <x:c r="AK350" s="26"/>
      <x:c r="AL350" s="26"/>
      <x:c r="AM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  <x:c r="AA351" s="26"/>
      <x:c r="AB351" s="26"/>
      <x:c r="AC351" s="26"/>
      <x:c r="AD351" s="26"/>
      <x:c r="AE351" s="26"/>
      <x:c r="AF351" s="26"/>
      <x:c r="AG351" s="26"/>
      <x:c r="AH351" s="26"/>
      <x:c r="AI351" s="26"/>
      <x:c r="AJ351" s="26"/>
      <x:c r="AK351" s="26"/>
      <x:c r="AL351" s="26"/>
      <x:c r="AM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  <x:c r="AA352" s="26"/>
      <x:c r="AB352" s="26"/>
      <x:c r="AC352" s="26"/>
      <x:c r="AD352" s="26"/>
      <x:c r="AE352" s="26"/>
      <x:c r="AF352" s="26"/>
      <x:c r="AG352" s="26"/>
      <x:c r="AH352" s="26"/>
      <x:c r="AI352" s="26"/>
      <x:c r="AJ352" s="26"/>
      <x:c r="AK352" s="26"/>
      <x:c r="AL352" s="26"/>
      <x:c r="AM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  <x:c r="AA353" s="26"/>
      <x:c r="AB353" s="26"/>
      <x:c r="AC353" s="26"/>
      <x:c r="AD353" s="26"/>
      <x:c r="AE353" s="26"/>
      <x:c r="AF353" s="26"/>
      <x:c r="AG353" s="26"/>
      <x:c r="AH353" s="26"/>
      <x:c r="AI353" s="26"/>
      <x:c r="AJ353" s="26"/>
      <x:c r="AK353" s="26"/>
      <x:c r="AL353" s="26"/>
      <x:c r="AM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  <x:c r="AA354" s="26"/>
      <x:c r="AB354" s="26"/>
      <x:c r="AC354" s="26"/>
      <x:c r="AD354" s="26"/>
      <x:c r="AE354" s="26"/>
      <x:c r="AF354" s="26"/>
      <x:c r="AG354" s="26"/>
      <x:c r="AH354" s="26"/>
      <x:c r="AI354" s="26"/>
      <x:c r="AJ354" s="26"/>
      <x:c r="AK354" s="26"/>
      <x:c r="AL354" s="26"/>
      <x:c r="AM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  <x:c r="AA355" s="26"/>
      <x:c r="AB355" s="26"/>
      <x:c r="AC355" s="26"/>
      <x:c r="AD355" s="26"/>
      <x:c r="AE355" s="26"/>
      <x:c r="AF355" s="26"/>
      <x:c r="AG355" s="26"/>
      <x:c r="AH355" s="26"/>
      <x:c r="AI355" s="26"/>
      <x:c r="AJ355" s="26"/>
      <x:c r="AK355" s="26"/>
      <x:c r="AL355" s="26"/>
      <x:c r="AM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  <x:c r="AA356" s="26"/>
      <x:c r="AB356" s="26"/>
      <x:c r="AC356" s="26"/>
      <x:c r="AD356" s="26"/>
      <x:c r="AE356" s="26"/>
      <x:c r="AF356" s="26"/>
      <x:c r="AG356" s="26"/>
      <x:c r="AH356" s="26"/>
      <x:c r="AI356" s="26"/>
      <x:c r="AJ356" s="26"/>
      <x:c r="AK356" s="26"/>
      <x:c r="AL356" s="26"/>
      <x:c r="AM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  <x:c r="AA357" s="26"/>
      <x:c r="AB357" s="26"/>
      <x:c r="AC357" s="26"/>
      <x:c r="AD357" s="26"/>
      <x:c r="AE357" s="26"/>
      <x:c r="AF357" s="26"/>
      <x:c r="AG357" s="26"/>
      <x:c r="AH357" s="26"/>
      <x:c r="AI357" s="26"/>
      <x:c r="AJ357" s="26"/>
      <x:c r="AK357" s="26"/>
      <x:c r="AL357" s="26"/>
      <x:c r="AM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  <x:c r="AA358" s="26"/>
      <x:c r="AB358" s="26"/>
      <x:c r="AC358" s="26"/>
      <x:c r="AD358" s="26"/>
      <x:c r="AE358" s="26"/>
      <x:c r="AF358" s="26"/>
      <x:c r="AG358" s="26"/>
      <x:c r="AH358" s="26"/>
      <x:c r="AI358" s="26"/>
      <x:c r="AJ358" s="26"/>
      <x:c r="AK358" s="26"/>
      <x:c r="AL358" s="26"/>
      <x:c r="AM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  <x:c r="AA359" s="26"/>
      <x:c r="AB359" s="26"/>
      <x:c r="AC359" s="26"/>
      <x:c r="AD359" s="26"/>
      <x:c r="AE359" s="26"/>
      <x:c r="AF359" s="26"/>
      <x:c r="AG359" s="26"/>
      <x:c r="AH359" s="26"/>
      <x:c r="AI359" s="26"/>
      <x:c r="AJ359" s="26"/>
      <x:c r="AK359" s="26"/>
      <x:c r="AL359" s="26"/>
      <x:c r="AM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  <x:c r="AA360" s="26"/>
      <x:c r="AB360" s="26"/>
      <x:c r="AC360" s="26"/>
      <x:c r="AD360" s="26"/>
      <x:c r="AE360" s="26"/>
      <x:c r="AF360" s="26"/>
      <x:c r="AG360" s="26"/>
      <x:c r="AH360" s="26"/>
      <x:c r="AI360" s="26"/>
      <x:c r="AJ360" s="26"/>
      <x:c r="AK360" s="26"/>
      <x:c r="AL360" s="26"/>
      <x:c r="AM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  <x:c r="AA361" s="26"/>
      <x:c r="AB361" s="26"/>
      <x:c r="AC361" s="26"/>
      <x:c r="AD361" s="26"/>
      <x:c r="AE361" s="26"/>
      <x:c r="AF361" s="26"/>
      <x:c r="AG361" s="26"/>
      <x:c r="AH361" s="26"/>
      <x:c r="AI361" s="26"/>
      <x:c r="AJ361" s="26"/>
      <x:c r="AK361" s="26"/>
      <x:c r="AL361" s="26"/>
      <x:c r="AM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  <x:c r="AA362" s="26"/>
      <x:c r="AB362" s="26"/>
      <x:c r="AC362" s="26"/>
      <x:c r="AD362" s="26"/>
      <x:c r="AE362" s="26"/>
      <x:c r="AF362" s="26"/>
      <x:c r="AG362" s="26"/>
      <x:c r="AH362" s="26"/>
      <x:c r="AI362" s="26"/>
      <x:c r="AJ362" s="26"/>
      <x:c r="AK362" s="26"/>
      <x:c r="AL362" s="26"/>
      <x:c r="AM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  <x:c r="AA363" s="26"/>
      <x:c r="AB363" s="26"/>
      <x:c r="AC363" s="26"/>
      <x:c r="AD363" s="26"/>
      <x:c r="AE363" s="26"/>
      <x:c r="AF363" s="26"/>
      <x:c r="AG363" s="26"/>
      <x:c r="AH363" s="26"/>
      <x:c r="AI363" s="26"/>
      <x:c r="AJ363" s="26"/>
      <x:c r="AK363" s="26"/>
      <x:c r="AL363" s="26"/>
      <x:c r="AM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  <x:c r="AA364" s="26"/>
      <x:c r="AB364" s="26"/>
      <x:c r="AC364" s="26"/>
      <x:c r="AD364" s="26"/>
      <x:c r="AE364" s="26"/>
      <x:c r="AF364" s="26"/>
      <x:c r="AG364" s="26"/>
      <x:c r="AH364" s="26"/>
      <x:c r="AI364" s="26"/>
      <x:c r="AJ364" s="26"/>
      <x:c r="AK364" s="26"/>
      <x:c r="AL364" s="26"/>
      <x:c r="AM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  <x:c r="AA365" s="26"/>
      <x:c r="AB365" s="26"/>
      <x:c r="AC365" s="26"/>
      <x:c r="AD365" s="26"/>
      <x:c r="AE365" s="26"/>
      <x:c r="AF365" s="26"/>
      <x:c r="AG365" s="26"/>
      <x:c r="AH365" s="26"/>
      <x:c r="AI365" s="26"/>
      <x:c r="AJ365" s="26"/>
      <x:c r="AK365" s="26"/>
      <x:c r="AL365" s="26"/>
      <x:c r="AM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  <x:c r="AA366" s="26"/>
      <x:c r="AB366" s="26"/>
      <x:c r="AC366" s="26"/>
      <x:c r="AD366" s="26"/>
      <x:c r="AE366" s="26"/>
      <x:c r="AF366" s="26"/>
      <x:c r="AG366" s="26"/>
      <x:c r="AH366" s="26"/>
      <x:c r="AI366" s="26"/>
      <x:c r="AJ366" s="26"/>
      <x:c r="AK366" s="26"/>
      <x:c r="AL366" s="26"/>
      <x:c r="AM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  <x:c r="AA367" s="26"/>
      <x:c r="AB367" s="26"/>
      <x:c r="AC367" s="26"/>
      <x:c r="AD367" s="26"/>
      <x:c r="AE367" s="26"/>
      <x:c r="AF367" s="26"/>
      <x:c r="AG367" s="26"/>
      <x:c r="AH367" s="26"/>
      <x:c r="AI367" s="26"/>
      <x:c r="AJ367" s="26"/>
      <x:c r="AK367" s="26"/>
      <x:c r="AL367" s="26"/>
      <x:c r="AM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  <x:c r="AA368" s="26"/>
      <x:c r="AB368" s="26"/>
      <x:c r="AC368" s="26"/>
      <x:c r="AD368" s="26"/>
      <x:c r="AE368" s="26"/>
      <x:c r="AF368" s="26"/>
      <x:c r="AG368" s="26"/>
      <x:c r="AH368" s="26"/>
      <x:c r="AI368" s="26"/>
      <x:c r="AJ368" s="26"/>
      <x:c r="AK368" s="26"/>
      <x:c r="AL368" s="26"/>
      <x:c r="AM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  <x:c r="AA369" s="26"/>
      <x:c r="AB369" s="26"/>
      <x:c r="AC369" s="26"/>
      <x:c r="AD369" s="26"/>
      <x:c r="AE369" s="26"/>
      <x:c r="AF369" s="26"/>
      <x:c r="AG369" s="26"/>
      <x:c r="AH369" s="26"/>
      <x:c r="AI369" s="26"/>
      <x:c r="AJ369" s="26"/>
      <x:c r="AK369" s="26"/>
      <x:c r="AL369" s="26"/>
      <x:c r="AM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  <x:c r="AA370" s="26"/>
      <x:c r="AB370" s="26"/>
      <x:c r="AC370" s="26"/>
      <x:c r="AD370" s="26"/>
      <x:c r="AE370" s="26"/>
      <x:c r="AF370" s="26"/>
      <x:c r="AG370" s="26"/>
      <x:c r="AH370" s="26"/>
      <x:c r="AI370" s="26"/>
      <x:c r="AJ370" s="26"/>
      <x:c r="AK370" s="26"/>
      <x:c r="AL370" s="26"/>
      <x:c r="AM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  <x:c r="AA371" s="26"/>
      <x:c r="AB371" s="26"/>
      <x:c r="AC371" s="26"/>
      <x:c r="AD371" s="26"/>
      <x:c r="AE371" s="26"/>
      <x:c r="AF371" s="26"/>
      <x:c r="AG371" s="26"/>
      <x:c r="AH371" s="26"/>
      <x:c r="AI371" s="26"/>
      <x:c r="AJ371" s="26"/>
      <x:c r="AK371" s="26"/>
      <x:c r="AL371" s="26"/>
      <x:c r="AM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  <x:c r="AA372" s="26"/>
      <x:c r="AB372" s="26"/>
      <x:c r="AC372" s="26"/>
      <x:c r="AD372" s="26"/>
      <x:c r="AE372" s="26"/>
      <x:c r="AF372" s="26"/>
      <x:c r="AG372" s="26"/>
      <x:c r="AH372" s="26"/>
      <x:c r="AI372" s="26"/>
      <x:c r="AJ372" s="26"/>
      <x:c r="AK372" s="26"/>
      <x:c r="AL372" s="26"/>
      <x:c r="AM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  <x:c r="AA373" s="26"/>
      <x:c r="AB373" s="26"/>
      <x:c r="AC373" s="26"/>
      <x:c r="AD373" s="26"/>
      <x:c r="AE373" s="26"/>
      <x:c r="AF373" s="26"/>
      <x:c r="AG373" s="26"/>
      <x:c r="AH373" s="26"/>
      <x:c r="AI373" s="26"/>
      <x:c r="AJ373" s="26"/>
      <x:c r="AK373" s="26"/>
      <x:c r="AL373" s="26"/>
      <x:c r="AM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  <x:c r="AA374" s="26"/>
      <x:c r="AB374" s="26"/>
      <x:c r="AC374" s="26"/>
      <x:c r="AD374" s="26"/>
      <x:c r="AE374" s="26"/>
      <x:c r="AF374" s="26"/>
      <x:c r="AG374" s="26"/>
      <x:c r="AH374" s="26"/>
      <x:c r="AI374" s="26"/>
      <x:c r="AJ374" s="26"/>
      <x:c r="AK374" s="26"/>
      <x:c r="AL374" s="26"/>
      <x:c r="AM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  <x:c r="AA375" s="26"/>
      <x:c r="AB375" s="26"/>
      <x:c r="AC375" s="26"/>
      <x:c r="AD375" s="26"/>
      <x:c r="AE375" s="26"/>
      <x:c r="AF375" s="26"/>
      <x:c r="AG375" s="26"/>
      <x:c r="AH375" s="26"/>
      <x:c r="AI375" s="26"/>
      <x:c r="AJ375" s="26"/>
      <x:c r="AK375" s="26"/>
      <x:c r="AL375" s="26"/>
      <x:c r="AM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  <x:c r="AA376" s="26"/>
      <x:c r="AB376" s="26"/>
      <x:c r="AC376" s="26"/>
      <x:c r="AD376" s="26"/>
      <x:c r="AE376" s="26"/>
      <x:c r="AF376" s="26"/>
      <x:c r="AG376" s="26"/>
      <x:c r="AH376" s="26"/>
      <x:c r="AI376" s="26"/>
      <x:c r="AJ376" s="26"/>
      <x:c r="AK376" s="26"/>
      <x:c r="AL376" s="26"/>
      <x:c r="AM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  <x:c r="AA377" s="26"/>
      <x:c r="AB377" s="26"/>
      <x:c r="AC377" s="26"/>
      <x:c r="AD377" s="26"/>
      <x:c r="AE377" s="26"/>
      <x:c r="AF377" s="26"/>
      <x:c r="AG377" s="26"/>
      <x:c r="AH377" s="26"/>
      <x:c r="AI377" s="26"/>
      <x:c r="AJ377" s="26"/>
      <x:c r="AK377" s="26"/>
      <x:c r="AL377" s="26"/>
      <x:c r="AM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  <x:c r="AA378" s="26"/>
      <x:c r="AB378" s="26"/>
      <x:c r="AC378" s="26"/>
      <x:c r="AD378" s="26"/>
      <x:c r="AE378" s="26"/>
      <x:c r="AF378" s="26"/>
      <x:c r="AG378" s="26"/>
      <x:c r="AH378" s="26"/>
      <x:c r="AI378" s="26"/>
      <x:c r="AJ378" s="26"/>
      <x:c r="AK378" s="26"/>
      <x:c r="AL378" s="26"/>
      <x:c r="AM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  <x:c r="AA379" s="26"/>
      <x:c r="AB379" s="26"/>
      <x:c r="AC379" s="26"/>
      <x:c r="AD379" s="26"/>
      <x:c r="AE379" s="26"/>
      <x:c r="AF379" s="26"/>
      <x:c r="AG379" s="26"/>
      <x:c r="AH379" s="26"/>
      <x:c r="AI379" s="26"/>
      <x:c r="AJ379" s="26"/>
      <x:c r="AK379" s="26"/>
      <x:c r="AL379" s="26"/>
      <x:c r="AM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  <x:c r="AA380" s="26"/>
      <x:c r="AB380" s="26"/>
      <x:c r="AC380" s="26"/>
      <x:c r="AD380" s="26"/>
      <x:c r="AE380" s="26"/>
      <x:c r="AF380" s="26"/>
      <x:c r="AG380" s="26"/>
      <x:c r="AH380" s="26"/>
      <x:c r="AI380" s="26"/>
      <x:c r="AJ380" s="26"/>
      <x:c r="AK380" s="26"/>
      <x:c r="AL380" s="26"/>
      <x:c r="AM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  <x:c r="AA381" s="26"/>
      <x:c r="AB381" s="26"/>
      <x:c r="AC381" s="26"/>
      <x:c r="AD381" s="26"/>
      <x:c r="AE381" s="26"/>
      <x:c r="AF381" s="26"/>
      <x:c r="AG381" s="26"/>
      <x:c r="AH381" s="26"/>
      <x:c r="AI381" s="26"/>
      <x:c r="AJ381" s="26"/>
      <x:c r="AK381" s="26"/>
      <x:c r="AL381" s="26"/>
      <x:c r="AM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  <x:c r="AA382" s="26"/>
      <x:c r="AB382" s="26"/>
      <x:c r="AC382" s="26"/>
      <x:c r="AD382" s="26"/>
      <x:c r="AE382" s="26"/>
      <x:c r="AF382" s="26"/>
      <x:c r="AG382" s="26"/>
      <x:c r="AH382" s="26"/>
      <x:c r="AI382" s="26"/>
      <x:c r="AJ382" s="26"/>
      <x:c r="AK382" s="26"/>
      <x:c r="AL382" s="26"/>
      <x:c r="AM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  <x:c r="AA383" s="26"/>
      <x:c r="AB383" s="26"/>
      <x:c r="AC383" s="26"/>
      <x:c r="AD383" s="26"/>
      <x:c r="AE383" s="26"/>
      <x:c r="AF383" s="26"/>
      <x:c r="AG383" s="26"/>
      <x:c r="AH383" s="26"/>
      <x:c r="AI383" s="26"/>
      <x:c r="AJ383" s="26"/>
      <x:c r="AK383" s="26"/>
      <x:c r="AL383" s="26"/>
      <x:c r="AM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  <x:c r="AA384" s="26"/>
      <x:c r="AB384" s="26"/>
      <x:c r="AC384" s="26"/>
      <x:c r="AD384" s="26"/>
      <x:c r="AE384" s="26"/>
      <x:c r="AF384" s="26"/>
      <x:c r="AG384" s="26"/>
      <x:c r="AH384" s="26"/>
      <x:c r="AI384" s="26"/>
      <x:c r="AJ384" s="26"/>
      <x:c r="AK384" s="26"/>
      <x:c r="AL384" s="26"/>
      <x:c r="AM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  <x:c r="AA385" s="26"/>
      <x:c r="AB385" s="26"/>
      <x:c r="AC385" s="26"/>
      <x:c r="AD385" s="26"/>
      <x:c r="AE385" s="26"/>
      <x:c r="AF385" s="26"/>
      <x:c r="AG385" s="26"/>
      <x:c r="AH385" s="26"/>
      <x:c r="AI385" s="26"/>
      <x:c r="AJ385" s="26"/>
      <x:c r="AK385" s="26"/>
      <x:c r="AL385" s="26"/>
      <x:c r="AM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  <x:c r="AA386" s="26"/>
      <x:c r="AB386" s="26"/>
      <x:c r="AC386" s="26"/>
      <x:c r="AD386" s="26"/>
      <x:c r="AE386" s="26"/>
      <x:c r="AF386" s="26"/>
      <x:c r="AG386" s="26"/>
      <x:c r="AH386" s="26"/>
      <x:c r="AI386" s="26"/>
      <x:c r="AJ386" s="26"/>
      <x:c r="AK386" s="26"/>
      <x:c r="AL386" s="26"/>
      <x:c r="AM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  <x:c r="AA387" s="26"/>
      <x:c r="AB387" s="26"/>
      <x:c r="AC387" s="26"/>
      <x:c r="AD387" s="26"/>
      <x:c r="AE387" s="26"/>
      <x:c r="AF387" s="26"/>
      <x:c r="AG387" s="26"/>
      <x:c r="AH387" s="26"/>
      <x:c r="AI387" s="26"/>
      <x:c r="AJ387" s="26"/>
      <x:c r="AK387" s="26"/>
      <x:c r="AL387" s="26"/>
      <x:c r="AM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  <x:c r="AA388" s="26"/>
      <x:c r="AB388" s="26"/>
      <x:c r="AC388" s="26"/>
      <x:c r="AD388" s="26"/>
      <x:c r="AE388" s="26"/>
      <x:c r="AF388" s="26"/>
      <x:c r="AG388" s="26"/>
      <x:c r="AH388" s="26"/>
      <x:c r="AI388" s="26"/>
      <x:c r="AJ388" s="26"/>
      <x:c r="AK388" s="26"/>
      <x:c r="AL388" s="26"/>
      <x:c r="AM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  <x:c r="AA389" s="26"/>
      <x:c r="AB389" s="26"/>
      <x:c r="AC389" s="26"/>
      <x:c r="AD389" s="26"/>
      <x:c r="AE389" s="26"/>
      <x:c r="AF389" s="26"/>
      <x:c r="AG389" s="26"/>
      <x:c r="AH389" s="26"/>
      <x:c r="AI389" s="26"/>
      <x:c r="AJ389" s="26"/>
      <x:c r="AK389" s="26"/>
      <x:c r="AL389" s="26"/>
      <x:c r="AM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  <x:c r="AA390" s="26"/>
      <x:c r="AB390" s="26"/>
      <x:c r="AC390" s="26"/>
      <x:c r="AD390" s="26"/>
      <x:c r="AE390" s="26"/>
      <x:c r="AF390" s="26"/>
      <x:c r="AG390" s="26"/>
      <x:c r="AH390" s="26"/>
      <x:c r="AI390" s="26"/>
      <x:c r="AJ390" s="26"/>
      <x:c r="AK390" s="26"/>
      <x:c r="AL390" s="26"/>
      <x:c r="AM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  <x:c r="AA391" s="26"/>
      <x:c r="AB391" s="26"/>
      <x:c r="AC391" s="26"/>
      <x:c r="AD391" s="26"/>
      <x:c r="AE391" s="26"/>
      <x:c r="AF391" s="26"/>
      <x:c r="AG391" s="26"/>
      <x:c r="AH391" s="26"/>
      <x:c r="AI391" s="26"/>
      <x:c r="AJ391" s="26"/>
      <x:c r="AK391" s="26"/>
      <x:c r="AL391" s="26"/>
      <x:c r="AM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  <x:c r="AA392" s="26"/>
      <x:c r="AB392" s="26"/>
      <x:c r="AC392" s="26"/>
      <x:c r="AD392" s="26"/>
      <x:c r="AE392" s="26"/>
      <x:c r="AF392" s="26"/>
      <x:c r="AG392" s="26"/>
      <x:c r="AH392" s="26"/>
      <x:c r="AI392" s="26"/>
      <x:c r="AJ392" s="26"/>
      <x:c r="AK392" s="26"/>
      <x:c r="AL392" s="26"/>
      <x:c r="AM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  <x:c r="AA393" s="26"/>
      <x:c r="AB393" s="26"/>
      <x:c r="AC393" s="26"/>
      <x:c r="AD393" s="26"/>
      <x:c r="AE393" s="26"/>
      <x:c r="AF393" s="26"/>
      <x:c r="AG393" s="26"/>
      <x:c r="AH393" s="26"/>
      <x:c r="AI393" s="26"/>
      <x:c r="AJ393" s="26"/>
      <x:c r="AK393" s="26"/>
      <x:c r="AL393" s="26"/>
      <x:c r="AM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  <x:c r="AA394" s="26"/>
      <x:c r="AB394" s="26"/>
      <x:c r="AC394" s="26"/>
      <x:c r="AD394" s="26"/>
      <x:c r="AE394" s="26"/>
      <x:c r="AF394" s="26"/>
      <x:c r="AG394" s="26"/>
      <x:c r="AH394" s="26"/>
      <x:c r="AI394" s="26"/>
      <x:c r="AJ394" s="26"/>
      <x:c r="AK394" s="26"/>
      <x:c r="AL394" s="26"/>
      <x:c r="AM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  <x:c r="AA395" s="26"/>
      <x:c r="AB395" s="26"/>
      <x:c r="AC395" s="26"/>
      <x:c r="AD395" s="26"/>
      <x:c r="AE395" s="26"/>
      <x:c r="AF395" s="26"/>
      <x:c r="AG395" s="26"/>
      <x:c r="AH395" s="26"/>
      <x:c r="AI395" s="26"/>
      <x:c r="AJ395" s="26"/>
      <x:c r="AK395" s="26"/>
      <x:c r="AL395" s="26"/>
      <x:c r="AM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  <x:c r="AA396" s="26"/>
      <x:c r="AB396" s="26"/>
      <x:c r="AC396" s="26"/>
      <x:c r="AD396" s="26"/>
      <x:c r="AE396" s="26"/>
      <x:c r="AF396" s="26"/>
      <x:c r="AG396" s="26"/>
      <x:c r="AH396" s="26"/>
      <x:c r="AI396" s="26"/>
      <x:c r="AJ396" s="26"/>
      <x:c r="AK396" s="26"/>
      <x:c r="AL396" s="26"/>
      <x:c r="AM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  <x:c r="AA397" s="26"/>
      <x:c r="AB397" s="26"/>
      <x:c r="AC397" s="26"/>
      <x:c r="AD397" s="26"/>
      <x:c r="AE397" s="26"/>
      <x:c r="AF397" s="26"/>
      <x:c r="AG397" s="26"/>
      <x:c r="AH397" s="26"/>
      <x:c r="AI397" s="26"/>
      <x:c r="AJ397" s="26"/>
      <x:c r="AK397" s="26"/>
      <x:c r="AL397" s="26"/>
      <x:c r="AM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  <x:c r="AA398" s="26"/>
      <x:c r="AB398" s="26"/>
      <x:c r="AC398" s="26"/>
      <x:c r="AD398" s="26"/>
      <x:c r="AE398" s="26"/>
      <x:c r="AF398" s="26"/>
      <x:c r="AG398" s="26"/>
      <x:c r="AH398" s="26"/>
      <x:c r="AI398" s="26"/>
      <x:c r="AJ398" s="26"/>
      <x:c r="AK398" s="26"/>
      <x:c r="AL398" s="26"/>
      <x:c r="AM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  <x:c r="AA399" s="26"/>
      <x:c r="AB399" s="26"/>
      <x:c r="AC399" s="26"/>
      <x:c r="AD399" s="26"/>
      <x:c r="AE399" s="26"/>
      <x:c r="AF399" s="26"/>
      <x:c r="AG399" s="26"/>
      <x:c r="AH399" s="26"/>
      <x:c r="AI399" s="26"/>
      <x:c r="AJ399" s="26"/>
      <x:c r="AK399" s="26"/>
      <x:c r="AL399" s="26"/>
      <x:c r="AM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  <x:c r="AA400" s="26"/>
      <x:c r="AB400" s="26"/>
      <x:c r="AC400" s="26"/>
      <x:c r="AD400" s="26"/>
      <x:c r="AE400" s="26"/>
      <x:c r="AF400" s="26"/>
      <x:c r="AG400" s="26"/>
      <x:c r="AH400" s="26"/>
      <x:c r="AI400" s="26"/>
      <x:c r="AJ400" s="26"/>
      <x:c r="AK400" s="26"/>
      <x:c r="AL400" s="26"/>
      <x:c r="AM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  <x:c r="AA401" s="26"/>
      <x:c r="AB401" s="26"/>
      <x:c r="AC401" s="26"/>
      <x:c r="AD401" s="26"/>
      <x:c r="AE401" s="26"/>
      <x:c r="AF401" s="26"/>
      <x:c r="AG401" s="26"/>
      <x:c r="AH401" s="26"/>
      <x:c r="AI401" s="26"/>
      <x:c r="AJ401" s="26"/>
      <x:c r="AK401" s="26"/>
      <x:c r="AL401" s="26"/>
      <x:c r="AM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  <x:c r="AA402" s="26"/>
      <x:c r="AB402" s="26"/>
      <x:c r="AC402" s="26"/>
      <x:c r="AD402" s="26"/>
      <x:c r="AE402" s="26"/>
      <x:c r="AF402" s="26"/>
      <x:c r="AG402" s="26"/>
      <x:c r="AH402" s="26"/>
      <x:c r="AI402" s="26"/>
      <x:c r="AJ402" s="26"/>
      <x:c r="AK402" s="26"/>
      <x:c r="AL402" s="26"/>
      <x:c r="AM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  <x:c r="AA403" s="26"/>
      <x:c r="AB403" s="26"/>
      <x:c r="AC403" s="26"/>
      <x:c r="AD403" s="26"/>
      <x:c r="AE403" s="26"/>
      <x:c r="AF403" s="26"/>
      <x:c r="AG403" s="26"/>
      <x:c r="AH403" s="26"/>
      <x:c r="AI403" s="26"/>
      <x:c r="AJ403" s="26"/>
      <x:c r="AK403" s="26"/>
      <x:c r="AL403" s="26"/>
      <x:c r="AM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  <x:c r="AA404" s="26"/>
      <x:c r="AB404" s="26"/>
      <x:c r="AC404" s="26"/>
      <x:c r="AD404" s="26"/>
      <x:c r="AE404" s="26"/>
      <x:c r="AF404" s="26"/>
      <x:c r="AG404" s="26"/>
      <x:c r="AH404" s="26"/>
      <x:c r="AI404" s="26"/>
      <x:c r="AJ404" s="26"/>
      <x:c r="AK404" s="26"/>
      <x:c r="AL404" s="26"/>
      <x:c r="AM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  <x:c r="AA405" s="26"/>
      <x:c r="AB405" s="26"/>
      <x:c r="AC405" s="26"/>
      <x:c r="AD405" s="26"/>
      <x:c r="AE405" s="26"/>
      <x:c r="AF405" s="26"/>
      <x:c r="AG405" s="26"/>
      <x:c r="AH405" s="26"/>
      <x:c r="AI405" s="26"/>
      <x:c r="AJ405" s="26"/>
      <x:c r="AK405" s="26"/>
      <x:c r="AL405" s="26"/>
      <x:c r="AM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  <x:c r="AA406" s="26"/>
      <x:c r="AB406" s="26"/>
      <x:c r="AC406" s="26"/>
      <x:c r="AD406" s="26"/>
      <x:c r="AE406" s="26"/>
      <x:c r="AF406" s="26"/>
      <x:c r="AG406" s="26"/>
      <x:c r="AH406" s="26"/>
      <x:c r="AI406" s="26"/>
      <x:c r="AJ406" s="26"/>
      <x:c r="AK406" s="26"/>
      <x:c r="AL406" s="26"/>
      <x:c r="AM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  <x:c r="AA407" s="26"/>
      <x:c r="AB407" s="26"/>
      <x:c r="AC407" s="26"/>
      <x:c r="AD407" s="26"/>
      <x:c r="AE407" s="26"/>
      <x:c r="AF407" s="26"/>
      <x:c r="AG407" s="26"/>
      <x:c r="AH407" s="26"/>
      <x:c r="AI407" s="26"/>
      <x:c r="AJ407" s="26"/>
      <x:c r="AK407" s="26"/>
      <x:c r="AL407" s="26"/>
      <x:c r="AM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  <x:c r="AA408" s="26"/>
      <x:c r="AB408" s="26"/>
      <x:c r="AC408" s="26"/>
      <x:c r="AD408" s="26"/>
      <x:c r="AE408" s="26"/>
      <x:c r="AF408" s="26"/>
      <x:c r="AG408" s="26"/>
      <x:c r="AH408" s="26"/>
      <x:c r="AI408" s="26"/>
      <x:c r="AJ408" s="26"/>
      <x:c r="AK408" s="26"/>
      <x:c r="AL408" s="26"/>
      <x:c r="AM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  <x:c r="AA409" s="26"/>
      <x:c r="AB409" s="26"/>
      <x:c r="AC409" s="26"/>
      <x:c r="AD409" s="26"/>
      <x:c r="AE409" s="26"/>
      <x:c r="AF409" s="26"/>
      <x:c r="AG409" s="26"/>
      <x:c r="AH409" s="26"/>
      <x:c r="AI409" s="26"/>
      <x:c r="AJ409" s="26"/>
      <x:c r="AK409" s="26"/>
      <x:c r="AL409" s="26"/>
      <x:c r="AM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  <x:c r="AA410" s="26"/>
      <x:c r="AB410" s="26"/>
      <x:c r="AC410" s="26"/>
      <x:c r="AD410" s="26"/>
      <x:c r="AE410" s="26"/>
      <x:c r="AF410" s="26"/>
      <x:c r="AG410" s="26"/>
      <x:c r="AH410" s="26"/>
      <x:c r="AI410" s="26"/>
      <x:c r="AJ410" s="26"/>
      <x:c r="AK410" s="26"/>
      <x:c r="AL410" s="26"/>
      <x:c r="AM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  <x:c r="AA411" s="26"/>
      <x:c r="AB411" s="26"/>
      <x:c r="AC411" s="26"/>
      <x:c r="AD411" s="26"/>
      <x:c r="AE411" s="26"/>
      <x:c r="AF411" s="26"/>
      <x:c r="AG411" s="26"/>
      <x:c r="AH411" s="26"/>
      <x:c r="AI411" s="26"/>
      <x:c r="AJ411" s="26"/>
      <x:c r="AK411" s="26"/>
      <x:c r="AL411" s="26"/>
      <x:c r="AM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  <x:c r="AA412" s="26"/>
      <x:c r="AB412" s="26"/>
      <x:c r="AC412" s="26"/>
      <x:c r="AD412" s="26"/>
      <x:c r="AE412" s="26"/>
      <x:c r="AF412" s="26"/>
      <x:c r="AG412" s="26"/>
      <x:c r="AH412" s="26"/>
      <x:c r="AI412" s="26"/>
      <x:c r="AJ412" s="26"/>
      <x:c r="AK412" s="26"/>
      <x:c r="AL412" s="26"/>
      <x:c r="AM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  <x:c r="AA413" s="26"/>
      <x:c r="AB413" s="26"/>
      <x:c r="AC413" s="26"/>
      <x:c r="AD413" s="26"/>
      <x:c r="AE413" s="26"/>
      <x:c r="AF413" s="26"/>
      <x:c r="AG413" s="26"/>
      <x:c r="AH413" s="26"/>
      <x:c r="AI413" s="26"/>
      <x:c r="AJ413" s="26"/>
      <x:c r="AK413" s="26"/>
      <x:c r="AL413" s="26"/>
      <x:c r="AM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  <x:c r="AA414" s="26"/>
      <x:c r="AB414" s="26"/>
      <x:c r="AC414" s="26"/>
      <x:c r="AD414" s="26"/>
      <x:c r="AE414" s="26"/>
      <x:c r="AF414" s="26"/>
      <x:c r="AG414" s="26"/>
      <x:c r="AH414" s="26"/>
      <x:c r="AI414" s="26"/>
      <x:c r="AJ414" s="26"/>
      <x:c r="AK414" s="26"/>
      <x:c r="AL414" s="26"/>
      <x:c r="AM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  <x:c r="AA415" s="26"/>
      <x:c r="AB415" s="26"/>
      <x:c r="AC415" s="26"/>
      <x:c r="AD415" s="26"/>
      <x:c r="AE415" s="26"/>
      <x:c r="AF415" s="26"/>
      <x:c r="AG415" s="26"/>
      <x:c r="AH415" s="26"/>
      <x:c r="AI415" s="26"/>
      <x:c r="AJ415" s="26"/>
      <x:c r="AK415" s="26"/>
      <x:c r="AL415" s="26"/>
      <x:c r="AM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  <x:c r="AA416" s="26"/>
      <x:c r="AB416" s="26"/>
      <x:c r="AC416" s="26"/>
      <x:c r="AD416" s="26"/>
      <x:c r="AE416" s="26"/>
      <x:c r="AF416" s="26"/>
      <x:c r="AG416" s="26"/>
      <x:c r="AH416" s="26"/>
      <x:c r="AI416" s="26"/>
      <x:c r="AJ416" s="26"/>
      <x:c r="AK416" s="26"/>
      <x:c r="AL416" s="26"/>
      <x:c r="AM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  <x:c r="AA417" s="26"/>
      <x:c r="AB417" s="26"/>
      <x:c r="AC417" s="26"/>
      <x:c r="AD417" s="26"/>
      <x:c r="AE417" s="26"/>
      <x:c r="AF417" s="26"/>
      <x:c r="AG417" s="26"/>
      <x:c r="AH417" s="26"/>
      <x:c r="AI417" s="26"/>
      <x:c r="AJ417" s="26"/>
      <x:c r="AK417" s="26"/>
      <x:c r="AL417" s="26"/>
      <x:c r="AM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  <x:c r="AA418" s="26"/>
      <x:c r="AB418" s="26"/>
      <x:c r="AC418" s="26"/>
      <x:c r="AD418" s="26"/>
      <x:c r="AE418" s="26"/>
      <x:c r="AF418" s="26"/>
      <x:c r="AG418" s="26"/>
      <x:c r="AH418" s="26"/>
      <x:c r="AI418" s="26"/>
      <x:c r="AJ418" s="26"/>
      <x:c r="AK418" s="26"/>
      <x:c r="AL418" s="26"/>
      <x:c r="AM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  <x:c r="AA419" s="26"/>
      <x:c r="AB419" s="26"/>
      <x:c r="AC419" s="26"/>
      <x:c r="AD419" s="26"/>
      <x:c r="AE419" s="26"/>
      <x:c r="AF419" s="26"/>
      <x:c r="AG419" s="26"/>
      <x:c r="AH419" s="26"/>
      <x:c r="AI419" s="26"/>
      <x:c r="AJ419" s="26"/>
      <x:c r="AK419" s="26"/>
      <x:c r="AL419" s="26"/>
      <x:c r="AM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  <x:c r="AA420" s="26"/>
      <x:c r="AB420" s="26"/>
      <x:c r="AC420" s="26"/>
      <x:c r="AD420" s="26"/>
      <x:c r="AE420" s="26"/>
      <x:c r="AF420" s="26"/>
      <x:c r="AG420" s="26"/>
      <x:c r="AH420" s="26"/>
      <x:c r="AI420" s="26"/>
      <x:c r="AJ420" s="26"/>
      <x:c r="AK420" s="26"/>
      <x:c r="AL420" s="26"/>
      <x:c r="AM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  <x:c r="AA421" s="26"/>
      <x:c r="AB421" s="26"/>
      <x:c r="AC421" s="26"/>
      <x:c r="AD421" s="26"/>
      <x:c r="AE421" s="26"/>
      <x:c r="AF421" s="26"/>
      <x:c r="AG421" s="26"/>
      <x:c r="AH421" s="26"/>
      <x:c r="AI421" s="26"/>
      <x:c r="AJ421" s="26"/>
      <x:c r="AK421" s="26"/>
      <x:c r="AL421" s="26"/>
      <x:c r="AM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  <x:c r="AA422" s="26"/>
      <x:c r="AB422" s="26"/>
      <x:c r="AC422" s="26"/>
      <x:c r="AD422" s="26"/>
      <x:c r="AE422" s="26"/>
      <x:c r="AF422" s="26"/>
      <x:c r="AG422" s="26"/>
      <x:c r="AH422" s="26"/>
      <x:c r="AI422" s="26"/>
      <x:c r="AJ422" s="26"/>
      <x:c r="AK422" s="26"/>
      <x:c r="AL422" s="26"/>
      <x:c r="AM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  <x:c r="AA423" s="26"/>
      <x:c r="AB423" s="26"/>
      <x:c r="AC423" s="26"/>
      <x:c r="AD423" s="26"/>
      <x:c r="AE423" s="26"/>
      <x:c r="AF423" s="26"/>
      <x:c r="AG423" s="26"/>
      <x:c r="AH423" s="26"/>
      <x:c r="AI423" s="26"/>
      <x:c r="AJ423" s="26"/>
      <x:c r="AK423" s="26"/>
      <x:c r="AL423" s="26"/>
      <x:c r="AM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  <x:c r="AA424" s="26"/>
      <x:c r="AB424" s="26"/>
      <x:c r="AC424" s="26"/>
      <x:c r="AD424" s="26"/>
      <x:c r="AE424" s="26"/>
      <x:c r="AF424" s="26"/>
      <x:c r="AG424" s="26"/>
      <x:c r="AH424" s="26"/>
      <x:c r="AI424" s="26"/>
      <x:c r="AJ424" s="26"/>
      <x:c r="AK424" s="26"/>
      <x:c r="AL424" s="26"/>
      <x:c r="AM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  <x:c r="AA425" s="26"/>
      <x:c r="AB425" s="26"/>
      <x:c r="AC425" s="26"/>
      <x:c r="AD425" s="26"/>
      <x:c r="AE425" s="26"/>
      <x:c r="AF425" s="26"/>
      <x:c r="AG425" s="26"/>
      <x:c r="AH425" s="26"/>
      <x:c r="AI425" s="26"/>
      <x:c r="AJ425" s="26"/>
      <x:c r="AK425" s="26"/>
      <x:c r="AL425" s="26"/>
      <x:c r="AM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  <x:c r="AA426" s="26"/>
      <x:c r="AB426" s="26"/>
      <x:c r="AC426" s="26"/>
      <x:c r="AD426" s="26"/>
      <x:c r="AE426" s="26"/>
      <x:c r="AF426" s="26"/>
      <x:c r="AG426" s="26"/>
      <x:c r="AH426" s="26"/>
      <x:c r="AI426" s="26"/>
      <x:c r="AJ426" s="26"/>
      <x:c r="AK426" s="26"/>
      <x:c r="AL426" s="26"/>
      <x:c r="AM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  <x:c r="AA427" s="26"/>
      <x:c r="AB427" s="26"/>
      <x:c r="AC427" s="26"/>
      <x:c r="AD427" s="26"/>
      <x:c r="AE427" s="26"/>
      <x:c r="AF427" s="26"/>
      <x:c r="AG427" s="26"/>
      <x:c r="AH427" s="26"/>
      <x:c r="AI427" s="26"/>
      <x:c r="AJ427" s="26"/>
      <x:c r="AK427" s="26"/>
      <x:c r="AL427" s="26"/>
      <x:c r="AM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  <x:c r="AA428" s="26"/>
      <x:c r="AB428" s="26"/>
      <x:c r="AC428" s="26"/>
      <x:c r="AD428" s="26"/>
      <x:c r="AE428" s="26"/>
      <x:c r="AF428" s="26"/>
      <x:c r="AG428" s="26"/>
      <x:c r="AH428" s="26"/>
      <x:c r="AI428" s="26"/>
      <x:c r="AJ428" s="26"/>
      <x:c r="AK428" s="26"/>
      <x:c r="AL428" s="26"/>
      <x:c r="AM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  <x:c r="AA429" s="26"/>
      <x:c r="AB429" s="26"/>
      <x:c r="AC429" s="26"/>
      <x:c r="AD429" s="26"/>
      <x:c r="AE429" s="26"/>
      <x:c r="AF429" s="26"/>
      <x:c r="AG429" s="26"/>
      <x:c r="AH429" s="26"/>
      <x:c r="AI429" s="26"/>
      <x:c r="AJ429" s="26"/>
      <x:c r="AK429" s="26"/>
      <x:c r="AL429" s="26"/>
      <x:c r="AM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  <x:c r="AA430" s="26"/>
      <x:c r="AB430" s="26"/>
      <x:c r="AC430" s="26"/>
      <x:c r="AD430" s="26"/>
      <x:c r="AE430" s="26"/>
      <x:c r="AF430" s="26"/>
      <x:c r="AG430" s="26"/>
      <x:c r="AH430" s="26"/>
      <x:c r="AI430" s="26"/>
      <x:c r="AJ430" s="26"/>
      <x:c r="AK430" s="26"/>
      <x:c r="AL430" s="26"/>
      <x:c r="AM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  <x:c r="AA431" s="26"/>
      <x:c r="AB431" s="26"/>
      <x:c r="AC431" s="26"/>
      <x:c r="AD431" s="26"/>
      <x:c r="AE431" s="26"/>
      <x:c r="AF431" s="26"/>
      <x:c r="AG431" s="26"/>
      <x:c r="AH431" s="26"/>
      <x:c r="AI431" s="26"/>
      <x:c r="AJ431" s="26"/>
      <x:c r="AK431" s="26"/>
      <x:c r="AL431" s="26"/>
      <x:c r="AM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  <x:c r="AA432" s="26"/>
      <x:c r="AB432" s="26"/>
      <x:c r="AC432" s="26"/>
      <x:c r="AD432" s="26"/>
      <x:c r="AE432" s="26"/>
      <x:c r="AF432" s="26"/>
      <x:c r="AG432" s="26"/>
      <x:c r="AH432" s="26"/>
      <x:c r="AI432" s="26"/>
      <x:c r="AJ432" s="26"/>
      <x:c r="AK432" s="26"/>
      <x:c r="AL432" s="26"/>
      <x:c r="AM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  <x:c r="AA433" s="26"/>
      <x:c r="AB433" s="26"/>
      <x:c r="AC433" s="26"/>
      <x:c r="AD433" s="26"/>
      <x:c r="AE433" s="26"/>
      <x:c r="AF433" s="26"/>
      <x:c r="AG433" s="26"/>
      <x:c r="AH433" s="26"/>
      <x:c r="AI433" s="26"/>
      <x:c r="AJ433" s="26"/>
      <x:c r="AK433" s="26"/>
      <x:c r="AL433" s="26"/>
      <x:c r="AM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  <x:c r="AA434" s="26"/>
      <x:c r="AB434" s="26"/>
      <x:c r="AC434" s="26"/>
      <x:c r="AD434" s="26"/>
      <x:c r="AE434" s="26"/>
      <x:c r="AF434" s="26"/>
      <x:c r="AG434" s="26"/>
      <x:c r="AH434" s="26"/>
      <x:c r="AI434" s="26"/>
      <x:c r="AJ434" s="26"/>
      <x:c r="AK434" s="26"/>
      <x:c r="AL434" s="26"/>
      <x:c r="AM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  <x:c r="AA435" s="26"/>
      <x:c r="AB435" s="26"/>
      <x:c r="AC435" s="26"/>
      <x:c r="AD435" s="26"/>
      <x:c r="AE435" s="26"/>
      <x:c r="AF435" s="26"/>
      <x:c r="AG435" s="26"/>
      <x:c r="AH435" s="26"/>
      <x:c r="AI435" s="26"/>
      <x:c r="AJ435" s="26"/>
      <x:c r="AK435" s="26"/>
      <x:c r="AL435" s="26"/>
      <x:c r="AM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  <x:c r="AA436" s="26"/>
      <x:c r="AB436" s="26"/>
      <x:c r="AC436" s="26"/>
      <x:c r="AD436" s="26"/>
      <x:c r="AE436" s="26"/>
      <x:c r="AF436" s="26"/>
      <x:c r="AG436" s="26"/>
      <x:c r="AH436" s="26"/>
      <x:c r="AI436" s="26"/>
      <x:c r="AJ436" s="26"/>
      <x:c r="AK436" s="26"/>
      <x:c r="AL436" s="26"/>
      <x:c r="AM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  <x:c r="AA437" s="26"/>
      <x:c r="AB437" s="26"/>
      <x:c r="AC437" s="26"/>
      <x:c r="AD437" s="26"/>
      <x:c r="AE437" s="26"/>
      <x:c r="AF437" s="26"/>
      <x:c r="AG437" s="26"/>
      <x:c r="AH437" s="26"/>
      <x:c r="AI437" s="26"/>
      <x:c r="AJ437" s="26"/>
      <x:c r="AK437" s="26"/>
      <x:c r="AL437" s="26"/>
      <x:c r="AM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  <x:c r="AA438" s="26"/>
      <x:c r="AB438" s="26"/>
      <x:c r="AC438" s="26"/>
      <x:c r="AD438" s="26"/>
      <x:c r="AE438" s="26"/>
      <x:c r="AF438" s="26"/>
      <x:c r="AG438" s="26"/>
      <x:c r="AH438" s="26"/>
      <x:c r="AI438" s="26"/>
      <x:c r="AJ438" s="26"/>
      <x:c r="AK438" s="26"/>
      <x:c r="AL438" s="26"/>
      <x:c r="AM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  <x:c r="AA439" s="26"/>
      <x:c r="AB439" s="26"/>
      <x:c r="AC439" s="26"/>
      <x:c r="AD439" s="26"/>
      <x:c r="AE439" s="26"/>
      <x:c r="AF439" s="26"/>
      <x:c r="AG439" s="26"/>
      <x:c r="AH439" s="26"/>
      <x:c r="AI439" s="26"/>
      <x:c r="AJ439" s="26"/>
      <x:c r="AK439" s="26"/>
      <x:c r="AL439" s="26"/>
      <x:c r="AM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  <x:c r="AA440" s="26"/>
      <x:c r="AB440" s="26"/>
      <x:c r="AC440" s="26"/>
      <x:c r="AD440" s="26"/>
      <x:c r="AE440" s="26"/>
      <x:c r="AF440" s="26"/>
      <x:c r="AG440" s="26"/>
      <x:c r="AH440" s="26"/>
      <x:c r="AI440" s="26"/>
      <x:c r="AJ440" s="26"/>
      <x:c r="AK440" s="26"/>
      <x:c r="AL440" s="26"/>
      <x:c r="AM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  <x:c r="AA441" s="26"/>
      <x:c r="AB441" s="26"/>
      <x:c r="AC441" s="26"/>
      <x:c r="AD441" s="26"/>
      <x:c r="AE441" s="26"/>
      <x:c r="AF441" s="26"/>
      <x:c r="AG441" s="26"/>
      <x:c r="AH441" s="26"/>
      <x:c r="AI441" s="26"/>
      <x:c r="AJ441" s="26"/>
      <x:c r="AK441" s="26"/>
      <x:c r="AL441" s="26"/>
      <x:c r="AM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  <x:c r="AA442" s="26"/>
      <x:c r="AB442" s="26"/>
      <x:c r="AC442" s="26"/>
      <x:c r="AD442" s="26"/>
      <x:c r="AE442" s="26"/>
      <x:c r="AF442" s="26"/>
      <x:c r="AG442" s="26"/>
      <x:c r="AH442" s="26"/>
      <x:c r="AI442" s="26"/>
      <x:c r="AJ442" s="26"/>
      <x:c r="AK442" s="26"/>
      <x:c r="AL442" s="26"/>
      <x:c r="AM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  <x:c r="AA443" s="26"/>
      <x:c r="AB443" s="26"/>
      <x:c r="AC443" s="26"/>
      <x:c r="AD443" s="26"/>
      <x:c r="AE443" s="26"/>
      <x:c r="AF443" s="26"/>
      <x:c r="AG443" s="26"/>
      <x:c r="AH443" s="26"/>
      <x:c r="AI443" s="26"/>
      <x:c r="AJ443" s="26"/>
      <x:c r="AK443" s="26"/>
      <x:c r="AL443" s="26"/>
      <x:c r="AM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  <x:c r="AA444" s="26"/>
      <x:c r="AB444" s="26"/>
      <x:c r="AC444" s="26"/>
      <x:c r="AD444" s="26"/>
      <x:c r="AE444" s="26"/>
      <x:c r="AF444" s="26"/>
      <x:c r="AG444" s="26"/>
      <x:c r="AH444" s="26"/>
      <x:c r="AI444" s="26"/>
      <x:c r="AJ444" s="26"/>
      <x:c r="AK444" s="26"/>
      <x:c r="AL444" s="26"/>
      <x:c r="AM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  <x:c r="AA445" s="26"/>
      <x:c r="AB445" s="26"/>
      <x:c r="AC445" s="26"/>
      <x:c r="AD445" s="26"/>
      <x:c r="AE445" s="26"/>
      <x:c r="AF445" s="26"/>
      <x:c r="AG445" s="26"/>
      <x:c r="AH445" s="26"/>
      <x:c r="AI445" s="26"/>
      <x:c r="AJ445" s="26"/>
      <x:c r="AK445" s="26"/>
      <x:c r="AL445" s="26"/>
      <x:c r="AM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  <x:c r="AA446" s="26"/>
      <x:c r="AB446" s="26"/>
      <x:c r="AC446" s="26"/>
      <x:c r="AD446" s="26"/>
      <x:c r="AE446" s="26"/>
      <x:c r="AF446" s="26"/>
      <x:c r="AG446" s="26"/>
      <x:c r="AH446" s="26"/>
      <x:c r="AI446" s="26"/>
      <x:c r="AJ446" s="26"/>
      <x:c r="AK446" s="26"/>
      <x:c r="AL446" s="26"/>
      <x:c r="AM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  <x:c r="AA447" s="26"/>
      <x:c r="AB447" s="26"/>
      <x:c r="AC447" s="26"/>
      <x:c r="AD447" s="26"/>
      <x:c r="AE447" s="26"/>
      <x:c r="AF447" s="26"/>
      <x:c r="AG447" s="26"/>
      <x:c r="AH447" s="26"/>
      <x:c r="AI447" s="26"/>
      <x:c r="AJ447" s="26"/>
      <x:c r="AK447" s="26"/>
      <x:c r="AL447" s="26"/>
      <x:c r="AM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  <x:c r="AA448" s="26"/>
      <x:c r="AB448" s="26"/>
      <x:c r="AC448" s="26"/>
      <x:c r="AD448" s="26"/>
      <x:c r="AE448" s="26"/>
      <x:c r="AF448" s="26"/>
      <x:c r="AG448" s="26"/>
      <x:c r="AH448" s="26"/>
      <x:c r="AI448" s="26"/>
      <x:c r="AJ448" s="26"/>
      <x:c r="AK448" s="26"/>
      <x:c r="AL448" s="26"/>
      <x:c r="AM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  <x:c r="AA449" s="26"/>
      <x:c r="AB449" s="26"/>
      <x:c r="AC449" s="26"/>
      <x:c r="AD449" s="26"/>
      <x:c r="AE449" s="26"/>
      <x:c r="AF449" s="26"/>
      <x:c r="AG449" s="26"/>
      <x:c r="AH449" s="26"/>
      <x:c r="AI449" s="26"/>
      <x:c r="AJ449" s="26"/>
      <x:c r="AK449" s="26"/>
      <x:c r="AL449" s="26"/>
      <x:c r="AM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  <x:c r="AA450" s="26"/>
      <x:c r="AB450" s="26"/>
      <x:c r="AC450" s="26"/>
      <x:c r="AD450" s="26"/>
      <x:c r="AE450" s="26"/>
      <x:c r="AF450" s="26"/>
      <x:c r="AG450" s="26"/>
      <x:c r="AH450" s="26"/>
      <x:c r="AI450" s="26"/>
      <x:c r="AJ450" s="26"/>
      <x:c r="AK450" s="26"/>
      <x:c r="AL450" s="26"/>
      <x:c r="AM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  <x:c r="AA451" s="26"/>
      <x:c r="AB451" s="26"/>
      <x:c r="AC451" s="26"/>
      <x:c r="AD451" s="26"/>
      <x:c r="AE451" s="26"/>
      <x:c r="AF451" s="26"/>
      <x:c r="AG451" s="26"/>
      <x:c r="AH451" s="26"/>
      <x:c r="AI451" s="26"/>
      <x:c r="AJ451" s="26"/>
      <x:c r="AK451" s="26"/>
      <x:c r="AL451" s="26"/>
      <x:c r="AM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  <x:c r="AA452" s="26"/>
      <x:c r="AB452" s="26"/>
      <x:c r="AC452" s="26"/>
      <x:c r="AD452" s="26"/>
      <x:c r="AE452" s="26"/>
      <x:c r="AF452" s="26"/>
      <x:c r="AG452" s="26"/>
      <x:c r="AH452" s="26"/>
      <x:c r="AI452" s="26"/>
      <x:c r="AJ452" s="26"/>
      <x:c r="AK452" s="26"/>
      <x:c r="AL452" s="26"/>
      <x:c r="AM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  <x:c r="AA453" s="26"/>
      <x:c r="AB453" s="26"/>
      <x:c r="AC453" s="26"/>
      <x:c r="AD453" s="26"/>
      <x:c r="AE453" s="26"/>
      <x:c r="AF453" s="26"/>
      <x:c r="AG453" s="26"/>
      <x:c r="AH453" s="26"/>
      <x:c r="AI453" s="26"/>
      <x:c r="AJ453" s="26"/>
      <x:c r="AK453" s="26"/>
      <x:c r="AL453" s="26"/>
      <x:c r="AM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  <x:c r="AA454" s="26"/>
      <x:c r="AB454" s="26"/>
      <x:c r="AC454" s="26"/>
      <x:c r="AD454" s="26"/>
      <x:c r="AE454" s="26"/>
      <x:c r="AF454" s="26"/>
      <x:c r="AG454" s="26"/>
      <x:c r="AH454" s="26"/>
      <x:c r="AI454" s="26"/>
      <x:c r="AJ454" s="26"/>
      <x:c r="AK454" s="26"/>
      <x:c r="AL454" s="26"/>
      <x:c r="AM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  <x:c r="AA455" s="26"/>
      <x:c r="AB455" s="26"/>
      <x:c r="AC455" s="26"/>
      <x:c r="AD455" s="26"/>
      <x:c r="AE455" s="26"/>
      <x:c r="AF455" s="26"/>
      <x:c r="AG455" s="26"/>
      <x:c r="AH455" s="26"/>
      <x:c r="AI455" s="26"/>
      <x:c r="AJ455" s="26"/>
      <x:c r="AK455" s="26"/>
      <x:c r="AL455" s="26"/>
      <x:c r="AM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  <x:c r="AA456" s="26"/>
      <x:c r="AB456" s="26"/>
      <x:c r="AC456" s="26"/>
      <x:c r="AD456" s="26"/>
      <x:c r="AE456" s="26"/>
      <x:c r="AF456" s="26"/>
      <x:c r="AG456" s="26"/>
      <x:c r="AH456" s="26"/>
      <x:c r="AI456" s="26"/>
      <x:c r="AJ456" s="26"/>
      <x:c r="AK456" s="26"/>
      <x:c r="AL456" s="26"/>
      <x:c r="AM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  <x:c r="AA457" s="26"/>
      <x:c r="AB457" s="26"/>
      <x:c r="AC457" s="26"/>
      <x:c r="AD457" s="26"/>
      <x:c r="AE457" s="26"/>
      <x:c r="AF457" s="26"/>
      <x:c r="AG457" s="26"/>
      <x:c r="AH457" s="26"/>
      <x:c r="AI457" s="26"/>
      <x:c r="AJ457" s="26"/>
      <x:c r="AK457" s="26"/>
      <x:c r="AL457" s="26"/>
      <x:c r="AM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  <x:c r="AA458" s="26"/>
      <x:c r="AB458" s="26"/>
      <x:c r="AC458" s="26"/>
      <x:c r="AD458" s="26"/>
      <x:c r="AE458" s="26"/>
      <x:c r="AF458" s="26"/>
      <x:c r="AG458" s="26"/>
      <x:c r="AH458" s="26"/>
      <x:c r="AI458" s="26"/>
      <x:c r="AJ458" s="26"/>
      <x:c r="AK458" s="26"/>
      <x:c r="AL458" s="26"/>
      <x:c r="AM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  <x:c r="AA459" s="26"/>
      <x:c r="AB459" s="26"/>
      <x:c r="AC459" s="26"/>
      <x:c r="AD459" s="26"/>
      <x:c r="AE459" s="26"/>
      <x:c r="AF459" s="26"/>
      <x:c r="AG459" s="26"/>
      <x:c r="AH459" s="26"/>
      <x:c r="AI459" s="26"/>
      <x:c r="AJ459" s="26"/>
      <x:c r="AK459" s="26"/>
      <x:c r="AL459" s="26"/>
      <x:c r="AM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  <x:c r="AA460" s="26"/>
      <x:c r="AB460" s="26"/>
      <x:c r="AC460" s="26"/>
      <x:c r="AD460" s="26"/>
      <x:c r="AE460" s="26"/>
      <x:c r="AF460" s="26"/>
      <x:c r="AG460" s="26"/>
      <x:c r="AH460" s="26"/>
      <x:c r="AI460" s="26"/>
      <x:c r="AJ460" s="26"/>
      <x:c r="AK460" s="26"/>
      <x:c r="AL460" s="26"/>
      <x:c r="AM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  <x:c r="AA461" s="26"/>
      <x:c r="AB461" s="26"/>
      <x:c r="AC461" s="26"/>
      <x:c r="AD461" s="26"/>
      <x:c r="AE461" s="26"/>
      <x:c r="AF461" s="26"/>
      <x:c r="AG461" s="26"/>
      <x:c r="AH461" s="26"/>
      <x:c r="AI461" s="26"/>
      <x:c r="AJ461" s="26"/>
      <x:c r="AK461" s="26"/>
      <x:c r="AL461" s="26"/>
      <x:c r="AM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  <x:c r="AA462" s="26"/>
      <x:c r="AB462" s="26"/>
      <x:c r="AC462" s="26"/>
      <x:c r="AD462" s="26"/>
      <x:c r="AE462" s="26"/>
      <x:c r="AF462" s="26"/>
      <x:c r="AG462" s="26"/>
      <x:c r="AH462" s="26"/>
      <x:c r="AI462" s="26"/>
      <x:c r="AJ462" s="26"/>
      <x:c r="AK462" s="26"/>
      <x:c r="AL462" s="26"/>
      <x:c r="AM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  <x:c r="AA463" s="26"/>
      <x:c r="AB463" s="26"/>
      <x:c r="AC463" s="26"/>
      <x:c r="AD463" s="26"/>
      <x:c r="AE463" s="26"/>
      <x:c r="AF463" s="26"/>
      <x:c r="AG463" s="26"/>
      <x:c r="AH463" s="26"/>
      <x:c r="AI463" s="26"/>
      <x:c r="AJ463" s="26"/>
      <x:c r="AK463" s="26"/>
      <x:c r="AL463" s="26"/>
      <x:c r="AM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  <x:c r="AA464" s="26"/>
      <x:c r="AB464" s="26"/>
      <x:c r="AC464" s="26"/>
      <x:c r="AD464" s="26"/>
      <x:c r="AE464" s="26"/>
      <x:c r="AF464" s="26"/>
      <x:c r="AG464" s="26"/>
      <x:c r="AH464" s="26"/>
      <x:c r="AI464" s="26"/>
      <x:c r="AJ464" s="26"/>
      <x:c r="AK464" s="26"/>
      <x:c r="AL464" s="26"/>
      <x:c r="AM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  <x:c r="AA465" s="26"/>
      <x:c r="AB465" s="26"/>
      <x:c r="AC465" s="26"/>
      <x:c r="AD465" s="26"/>
      <x:c r="AE465" s="26"/>
      <x:c r="AF465" s="26"/>
      <x:c r="AG465" s="26"/>
      <x:c r="AH465" s="26"/>
      <x:c r="AI465" s="26"/>
      <x:c r="AJ465" s="26"/>
      <x:c r="AK465" s="26"/>
      <x:c r="AL465" s="26"/>
      <x:c r="AM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  <x:c r="AA466" s="26"/>
      <x:c r="AB466" s="26"/>
      <x:c r="AC466" s="26"/>
      <x:c r="AD466" s="26"/>
      <x:c r="AE466" s="26"/>
      <x:c r="AF466" s="26"/>
      <x:c r="AG466" s="26"/>
      <x:c r="AH466" s="26"/>
      <x:c r="AI466" s="26"/>
      <x:c r="AJ466" s="26"/>
      <x:c r="AK466" s="26"/>
      <x:c r="AL466" s="26"/>
      <x:c r="AM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  <x:c r="AA467" s="26"/>
      <x:c r="AB467" s="26"/>
      <x:c r="AC467" s="26"/>
      <x:c r="AD467" s="26"/>
      <x:c r="AE467" s="26"/>
      <x:c r="AF467" s="26"/>
      <x:c r="AG467" s="26"/>
      <x:c r="AH467" s="26"/>
      <x:c r="AI467" s="26"/>
      <x:c r="AJ467" s="26"/>
      <x:c r="AK467" s="26"/>
      <x:c r="AL467" s="26"/>
      <x:c r="AM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  <x:c r="AA468" s="26"/>
      <x:c r="AB468" s="26"/>
      <x:c r="AC468" s="26"/>
      <x:c r="AD468" s="26"/>
      <x:c r="AE468" s="26"/>
      <x:c r="AF468" s="26"/>
      <x:c r="AG468" s="26"/>
      <x:c r="AH468" s="26"/>
      <x:c r="AI468" s="26"/>
      <x:c r="AJ468" s="26"/>
      <x:c r="AK468" s="26"/>
      <x:c r="AL468" s="26"/>
      <x:c r="AM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  <x:c r="AA469" s="26"/>
      <x:c r="AB469" s="26"/>
      <x:c r="AC469" s="26"/>
      <x:c r="AD469" s="26"/>
      <x:c r="AE469" s="26"/>
      <x:c r="AF469" s="26"/>
      <x:c r="AG469" s="26"/>
      <x:c r="AH469" s="26"/>
      <x:c r="AI469" s="26"/>
      <x:c r="AJ469" s="26"/>
      <x:c r="AK469" s="26"/>
      <x:c r="AL469" s="26"/>
      <x:c r="AM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  <x:c r="AA470" s="26"/>
      <x:c r="AB470" s="26"/>
      <x:c r="AC470" s="26"/>
      <x:c r="AD470" s="26"/>
      <x:c r="AE470" s="26"/>
      <x:c r="AF470" s="26"/>
      <x:c r="AG470" s="26"/>
      <x:c r="AH470" s="26"/>
      <x:c r="AI470" s="26"/>
      <x:c r="AJ470" s="26"/>
      <x:c r="AK470" s="26"/>
      <x:c r="AL470" s="26"/>
      <x:c r="AM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  <x:c r="AA471" s="26"/>
      <x:c r="AB471" s="26"/>
      <x:c r="AC471" s="26"/>
      <x:c r="AD471" s="26"/>
      <x:c r="AE471" s="26"/>
      <x:c r="AF471" s="26"/>
      <x:c r="AG471" s="26"/>
      <x:c r="AH471" s="26"/>
      <x:c r="AI471" s="26"/>
      <x:c r="AJ471" s="26"/>
      <x:c r="AK471" s="26"/>
      <x:c r="AL471" s="26"/>
      <x:c r="AM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  <x:c r="AA472" s="26"/>
      <x:c r="AB472" s="26"/>
      <x:c r="AC472" s="26"/>
      <x:c r="AD472" s="26"/>
      <x:c r="AE472" s="26"/>
      <x:c r="AF472" s="26"/>
      <x:c r="AG472" s="26"/>
      <x:c r="AH472" s="26"/>
      <x:c r="AI472" s="26"/>
      <x:c r="AJ472" s="26"/>
      <x:c r="AK472" s="26"/>
      <x:c r="AL472" s="26"/>
      <x:c r="AM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  <x:c r="AA473" s="26"/>
      <x:c r="AB473" s="26"/>
      <x:c r="AC473" s="26"/>
      <x:c r="AD473" s="26"/>
      <x:c r="AE473" s="26"/>
      <x:c r="AF473" s="26"/>
      <x:c r="AG473" s="26"/>
      <x:c r="AH473" s="26"/>
      <x:c r="AI473" s="26"/>
      <x:c r="AJ473" s="26"/>
      <x:c r="AK473" s="26"/>
      <x:c r="AL473" s="26"/>
      <x:c r="AM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  <x:c r="AA474" s="26"/>
      <x:c r="AB474" s="26"/>
      <x:c r="AC474" s="26"/>
      <x:c r="AD474" s="26"/>
      <x:c r="AE474" s="26"/>
      <x:c r="AF474" s="26"/>
      <x:c r="AG474" s="26"/>
      <x:c r="AH474" s="26"/>
      <x:c r="AI474" s="26"/>
      <x:c r="AJ474" s="26"/>
      <x:c r="AK474" s="26"/>
      <x:c r="AL474" s="26"/>
      <x:c r="AM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  <x:c r="AA475" s="26"/>
      <x:c r="AB475" s="26"/>
      <x:c r="AC475" s="26"/>
      <x:c r="AD475" s="26"/>
      <x:c r="AE475" s="26"/>
      <x:c r="AF475" s="26"/>
      <x:c r="AG475" s="26"/>
      <x:c r="AH475" s="26"/>
      <x:c r="AI475" s="26"/>
      <x:c r="AJ475" s="26"/>
      <x:c r="AK475" s="26"/>
      <x:c r="AL475" s="26"/>
      <x:c r="AM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  <x:c r="AA476" s="26"/>
      <x:c r="AB476" s="26"/>
      <x:c r="AC476" s="26"/>
      <x:c r="AD476" s="26"/>
      <x:c r="AE476" s="26"/>
      <x:c r="AF476" s="26"/>
      <x:c r="AG476" s="26"/>
      <x:c r="AH476" s="26"/>
      <x:c r="AI476" s="26"/>
      <x:c r="AJ476" s="26"/>
      <x:c r="AK476" s="26"/>
      <x:c r="AL476" s="26"/>
      <x:c r="AM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  <x:c r="AA477" s="26"/>
      <x:c r="AB477" s="26"/>
      <x:c r="AC477" s="26"/>
      <x:c r="AD477" s="26"/>
      <x:c r="AE477" s="26"/>
      <x:c r="AF477" s="26"/>
      <x:c r="AG477" s="26"/>
      <x:c r="AH477" s="26"/>
      <x:c r="AI477" s="26"/>
      <x:c r="AJ477" s="26"/>
      <x:c r="AK477" s="26"/>
      <x:c r="AL477" s="26"/>
      <x:c r="AM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  <x:c r="AA478" s="26"/>
      <x:c r="AB478" s="26"/>
      <x:c r="AC478" s="26"/>
      <x:c r="AD478" s="26"/>
      <x:c r="AE478" s="26"/>
      <x:c r="AF478" s="26"/>
      <x:c r="AG478" s="26"/>
      <x:c r="AH478" s="26"/>
      <x:c r="AI478" s="26"/>
      <x:c r="AJ478" s="26"/>
      <x:c r="AK478" s="26"/>
      <x:c r="AL478" s="26"/>
      <x:c r="AM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  <x:c r="AA479" s="26"/>
      <x:c r="AB479" s="26"/>
      <x:c r="AC479" s="26"/>
      <x:c r="AD479" s="26"/>
      <x:c r="AE479" s="26"/>
      <x:c r="AF479" s="26"/>
      <x:c r="AG479" s="26"/>
      <x:c r="AH479" s="26"/>
      <x:c r="AI479" s="26"/>
      <x:c r="AJ479" s="26"/>
      <x:c r="AK479" s="26"/>
      <x:c r="AL479" s="26"/>
      <x:c r="AM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  <x:c r="AA480" s="26"/>
      <x:c r="AB480" s="26"/>
      <x:c r="AC480" s="26"/>
      <x:c r="AD480" s="26"/>
      <x:c r="AE480" s="26"/>
      <x:c r="AF480" s="26"/>
      <x:c r="AG480" s="26"/>
      <x:c r="AH480" s="26"/>
      <x:c r="AI480" s="26"/>
      <x:c r="AJ480" s="26"/>
      <x:c r="AK480" s="26"/>
      <x:c r="AL480" s="26"/>
      <x:c r="AM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  <x:c r="AA481" s="26"/>
      <x:c r="AB481" s="26"/>
      <x:c r="AC481" s="26"/>
      <x:c r="AD481" s="26"/>
      <x:c r="AE481" s="26"/>
      <x:c r="AF481" s="26"/>
      <x:c r="AG481" s="26"/>
      <x:c r="AH481" s="26"/>
      <x:c r="AI481" s="26"/>
      <x:c r="AJ481" s="26"/>
      <x:c r="AK481" s="26"/>
      <x:c r="AL481" s="26"/>
      <x:c r="AM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  <x:c r="AA482" s="26"/>
      <x:c r="AB482" s="26"/>
      <x:c r="AC482" s="26"/>
      <x:c r="AD482" s="26"/>
      <x:c r="AE482" s="26"/>
      <x:c r="AF482" s="26"/>
      <x:c r="AG482" s="26"/>
      <x:c r="AH482" s="26"/>
      <x:c r="AI482" s="26"/>
      <x:c r="AJ482" s="26"/>
      <x:c r="AK482" s="26"/>
      <x:c r="AL482" s="26"/>
      <x:c r="AM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  <x:c r="AA483" s="26"/>
      <x:c r="AB483" s="26"/>
      <x:c r="AC483" s="26"/>
      <x:c r="AD483" s="26"/>
      <x:c r="AE483" s="26"/>
      <x:c r="AF483" s="26"/>
      <x:c r="AG483" s="26"/>
      <x:c r="AH483" s="26"/>
      <x:c r="AI483" s="26"/>
      <x:c r="AJ483" s="26"/>
      <x:c r="AK483" s="26"/>
      <x:c r="AL483" s="26"/>
      <x:c r="AM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  <x:c r="AA484" s="26"/>
      <x:c r="AB484" s="26"/>
      <x:c r="AC484" s="26"/>
      <x:c r="AD484" s="26"/>
      <x:c r="AE484" s="26"/>
      <x:c r="AF484" s="26"/>
      <x:c r="AG484" s="26"/>
      <x:c r="AH484" s="26"/>
      <x:c r="AI484" s="26"/>
      <x:c r="AJ484" s="26"/>
      <x:c r="AK484" s="26"/>
      <x:c r="AL484" s="26"/>
      <x:c r="AM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  <x:c r="AA485" s="26"/>
      <x:c r="AB485" s="26"/>
      <x:c r="AC485" s="26"/>
      <x:c r="AD485" s="26"/>
      <x:c r="AE485" s="26"/>
      <x:c r="AF485" s="26"/>
      <x:c r="AG485" s="26"/>
      <x:c r="AH485" s="26"/>
      <x:c r="AI485" s="26"/>
      <x:c r="AJ485" s="26"/>
      <x:c r="AK485" s="26"/>
      <x:c r="AL485" s="26"/>
      <x:c r="AM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  <x:c r="AA486" s="26"/>
      <x:c r="AB486" s="26"/>
      <x:c r="AC486" s="26"/>
      <x:c r="AD486" s="26"/>
      <x:c r="AE486" s="26"/>
      <x:c r="AF486" s="26"/>
      <x:c r="AG486" s="26"/>
      <x:c r="AH486" s="26"/>
      <x:c r="AI486" s="26"/>
      <x:c r="AJ486" s="26"/>
      <x:c r="AK486" s="26"/>
      <x:c r="AL486" s="26"/>
      <x:c r="AM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  <x:c r="AA487" s="26"/>
      <x:c r="AB487" s="26"/>
      <x:c r="AC487" s="26"/>
      <x:c r="AD487" s="26"/>
      <x:c r="AE487" s="26"/>
      <x:c r="AF487" s="26"/>
      <x:c r="AG487" s="26"/>
      <x:c r="AH487" s="26"/>
      <x:c r="AI487" s="26"/>
      <x:c r="AJ487" s="26"/>
      <x:c r="AK487" s="26"/>
      <x:c r="AL487" s="26"/>
      <x:c r="AM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  <x:c r="AA488" s="26"/>
      <x:c r="AB488" s="26"/>
      <x:c r="AC488" s="26"/>
      <x:c r="AD488" s="26"/>
      <x:c r="AE488" s="26"/>
      <x:c r="AF488" s="26"/>
      <x:c r="AG488" s="26"/>
      <x:c r="AH488" s="26"/>
      <x:c r="AI488" s="26"/>
      <x:c r="AJ488" s="26"/>
      <x:c r="AK488" s="26"/>
      <x:c r="AL488" s="26"/>
      <x:c r="AM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  <x:c r="AA489" s="26"/>
      <x:c r="AB489" s="26"/>
      <x:c r="AC489" s="26"/>
      <x:c r="AD489" s="26"/>
      <x:c r="AE489" s="26"/>
      <x:c r="AF489" s="26"/>
      <x:c r="AG489" s="26"/>
      <x:c r="AH489" s="26"/>
      <x:c r="AI489" s="26"/>
      <x:c r="AJ489" s="26"/>
      <x:c r="AK489" s="26"/>
      <x:c r="AL489" s="26"/>
      <x:c r="AM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  <x:c r="AA490" s="26"/>
      <x:c r="AB490" s="26"/>
      <x:c r="AC490" s="26"/>
      <x:c r="AD490" s="26"/>
      <x:c r="AE490" s="26"/>
      <x:c r="AF490" s="26"/>
      <x:c r="AG490" s="26"/>
      <x:c r="AH490" s="26"/>
      <x:c r="AI490" s="26"/>
      <x:c r="AJ490" s="26"/>
      <x:c r="AK490" s="26"/>
      <x:c r="AL490" s="26"/>
      <x:c r="AM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  <x:c r="AA491" s="26"/>
      <x:c r="AB491" s="26"/>
      <x:c r="AC491" s="26"/>
      <x:c r="AD491" s="26"/>
      <x:c r="AE491" s="26"/>
      <x:c r="AF491" s="26"/>
      <x:c r="AG491" s="26"/>
      <x:c r="AH491" s="26"/>
      <x:c r="AI491" s="26"/>
      <x:c r="AJ491" s="26"/>
      <x:c r="AK491" s="26"/>
      <x:c r="AL491" s="26"/>
      <x:c r="AM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  <x:c r="AA492" s="26"/>
      <x:c r="AB492" s="26"/>
      <x:c r="AC492" s="26"/>
      <x:c r="AD492" s="26"/>
      <x:c r="AE492" s="26"/>
      <x:c r="AF492" s="26"/>
      <x:c r="AG492" s="26"/>
      <x:c r="AH492" s="26"/>
      <x:c r="AI492" s="26"/>
      <x:c r="AJ492" s="26"/>
      <x:c r="AK492" s="26"/>
      <x:c r="AL492" s="26"/>
      <x:c r="AM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  <x:c r="AA493" s="26"/>
      <x:c r="AB493" s="26"/>
      <x:c r="AC493" s="26"/>
      <x:c r="AD493" s="26"/>
      <x:c r="AE493" s="26"/>
      <x:c r="AF493" s="26"/>
      <x:c r="AG493" s="26"/>
      <x:c r="AH493" s="26"/>
      <x:c r="AI493" s="26"/>
      <x:c r="AJ493" s="26"/>
      <x:c r="AK493" s="26"/>
      <x:c r="AL493" s="26"/>
      <x:c r="AM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  <x:c r="AA494" s="26"/>
      <x:c r="AB494" s="26"/>
      <x:c r="AC494" s="26"/>
      <x:c r="AD494" s="26"/>
      <x:c r="AE494" s="26"/>
      <x:c r="AF494" s="26"/>
      <x:c r="AG494" s="26"/>
      <x:c r="AH494" s="26"/>
      <x:c r="AI494" s="26"/>
      <x:c r="AJ494" s="26"/>
      <x:c r="AK494" s="26"/>
      <x:c r="AL494" s="26"/>
      <x:c r="AM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  <x:c r="AA495" s="26"/>
      <x:c r="AB495" s="26"/>
      <x:c r="AC495" s="26"/>
      <x:c r="AD495" s="26"/>
      <x:c r="AE495" s="26"/>
      <x:c r="AF495" s="26"/>
      <x:c r="AG495" s="26"/>
      <x:c r="AH495" s="26"/>
      <x:c r="AI495" s="26"/>
      <x:c r="AJ495" s="26"/>
      <x:c r="AK495" s="26"/>
      <x:c r="AL495" s="26"/>
      <x:c r="AM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  <x:c r="AA496" s="26"/>
      <x:c r="AB496" s="26"/>
      <x:c r="AC496" s="26"/>
      <x:c r="AD496" s="26"/>
      <x:c r="AE496" s="26"/>
      <x:c r="AF496" s="26"/>
      <x:c r="AG496" s="26"/>
      <x:c r="AH496" s="26"/>
      <x:c r="AI496" s="26"/>
      <x:c r="AJ496" s="26"/>
      <x:c r="AK496" s="26"/>
      <x:c r="AL496" s="26"/>
      <x:c r="AM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  <x:c r="AA497" s="26"/>
      <x:c r="AB497" s="26"/>
      <x:c r="AC497" s="26"/>
      <x:c r="AD497" s="26"/>
      <x:c r="AE497" s="26"/>
      <x:c r="AF497" s="26"/>
      <x:c r="AG497" s="26"/>
      <x:c r="AH497" s="26"/>
      <x:c r="AI497" s="26"/>
      <x:c r="AJ497" s="26"/>
      <x:c r="AK497" s="26"/>
      <x:c r="AL497" s="26"/>
      <x:c r="AM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  <x:c r="AA498" s="26"/>
      <x:c r="AB498" s="26"/>
      <x:c r="AC498" s="26"/>
      <x:c r="AD498" s="26"/>
      <x:c r="AE498" s="26"/>
      <x:c r="AF498" s="26"/>
      <x:c r="AG498" s="26"/>
      <x:c r="AH498" s="26"/>
      <x:c r="AI498" s="26"/>
      <x:c r="AJ498" s="26"/>
      <x:c r="AK498" s="26"/>
      <x:c r="AL498" s="26"/>
      <x:c r="AM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  <x:c r="AA499" s="26"/>
      <x:c r="AB499" s="26"/>
      <x:c r="AC499" s="26"/>
      <x:c r="AD499" s="26"/>
      <x:c r="AE499" s="26"/>
      <x:c r="AF499" s="26"/>
      <x:c r="AG499" s="26"/>
      <x:c r="AH499" s="26"/>
      <x:c r="AI499" s="26"/>
      <x:c r="AJ499" s="26"/>
      <x:c r="AK499" s="26"/>
      <x:c r="AL499" s="26"/>
      <x:c r="AM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  <x:c r="AA500" s="26"/>
      <x:c r="AB500" s="26"/>
      <x:c r="AC500" s="26"/>
      <x:c r="AD500" s="26"/>
      <x:c r="AE500" s="26"/>
      <x:c r="AF500" s="26"/>
      <x:c r="AG500" s="26"/>
      <x:c r="AH500" s="26"/>
      <x:c r="AI500" s="26"/>
      <x:c r="AJ500" s="26"/>
      <x:c r="AK500" s="26"/>
      <x:c r="AL500" s="26"/>
      <x:c r="AM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  <x:c r="R501" s="26"/>
      <x:c r="S501" s="26"/>
      <x:c r="T501" s="26"/>
      <x:c r="U501" s="26"/>
      <x:c r="V501" s="26"/>
      <x:c r="W501" s="26"/>
      <x:c r="X501" s="26"/>
      <x:c r="Y501" s="26"/>
      <x:c r="Z501" s="26"/>
      <x:c r="AA501" s="26"/>
      <x:c r="AB501" s="26"/>
      <x:c r="AC501" s="26"/>
      <x:c r="AD501" s="26"/>
      <x:c r="AE501" s="26"/>
      <x:c r="AF501" s="26"/>
      <x:c r="AG501" s="26"/>
      <x:c r="AH501" s="26"/>
      <x:c r="AI501" s="26"/>
      <x:c r="AJ501" s="26"/>
      <x:c r="AK501" s="26"/>
      <x:c r="AL501" s="26"/>
      <x:c r="AM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  <x:c r="R502" s="26"/>
      <x:c r="S502" s="26"/>
      <x:c r="T502" s="26"/>
      <x:c r="U502" s="26"/>
      <x:c r="V502" s="26"/>
      <x:c r="W502" s="26"/>
      <x:c r="X502" s="26"/>
      <x:c r="Y502" s="26"/>
      <x:c r="Z502" s="26"/>
      <x:c r="AA502" s="26"/>
      <x:c r="AB502" s="26"/>
      <x:c r="AC502" s="26"/>
      <x:c r="AD502" s="26"/>
      <x:c r="AE502" s="26"/>
      <x:c r="AF502" s="26"/>
      <x:c r="AG502" s="26"/>
      <x:c r="AH502" s="26"/>
      <x:c r="AI502" s="26"/>
      <x:c r="AJ502" s="26"/>
      <x:c r="AK502" s="26"/>
      <x:c r="AL502" s="26"/>
      <x:c r="AM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  <x:c r="R503" s="26"/>
      <x:c r="S503" s="26"/>
      <x:c r="T503" s="26"/>
      <x:c r="U503" s="26"/>
      <x:c r="V503" s="26"/>
      <x:c r="W503" s="26"/>
      <x:c r="X503" s="26"/>
      <x:c r="Y503" s="26"/>
      <x:c r="Z503" s="26"/>
      <x:c r="AA503" s="26"/>
      <x:c r="AB503" s="26"/>
      <x:c r="AC503" s="26"/>
      <x:c r="AD503" s="26"/>
      <x:c r="AE503" s="26"/>
      <x:c r="AF503" s="26"/>
      <x:c r="AG503" s="26"/>
      <x:c r="AH503" s="26"/>
      <x:c r="AI503" s="26"/>
      <x:c r="AJ503" s="26"/>
      <x:c r="AK503" s="26"/>
      <x:c r="AL503" s="26"/>
      <x:c r="AM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  <x:c r="R504" s="26"/>
      <x:c r="S504" s="26"/>
      <x:c r="T504" s="26"/>
      <x:c r="U504" s="26"/>
      <x:c r="V504" s="26"/>
      <x:c r="W504" s="26"/>
      <x:c r="X504" s="26"/>
      <x:c r="Y504" s="26"/>
      <x:c r="Z504" s="26"/>
      <x:c r="AA504" s="26"/>
      <x:c r="AB504" s="26"/>
      <x:c r="AC504" s="26"/>
      <x:c r="AD504" s="26"/>
      <x:c r="AE504" s="26"/>
      <x:c r="AF504" s="26"/>
      <x:c r="AG504" s="26"/>
      <x:c r="AH504" s="26"/>
      <x:c r="AI504" s="26"/>
      <x:c r="AJ504" s="26"/>
      <x:c r="AK504" s="26"/>
      <x:c r="AL504" s="26"/>
      <x:c r="AM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  <x:c r="R505" s="26"/>
      <x:c r="S505" s="26"/>
      <x:c r="T505" s="26"/>
      <x:c r="U505" s="26"/>
      <x:c r="V505" s="26"/>
      <x:c r="W505" s="26"/>
      <x:c r="X505" s="26"/>
      <x:c r="Y505" s="26"/>
      <x:c r="Z505" s="26"/>
      <x:c r="AA505" s="26"/>
      <x:c r="AB505" s="26"/>
      <x:c r="AC505" s="26"/>
      <x:c r="AD505" s="26"/>
      <x:c r="AE505" s="26"/>
      <x:c r="AF505" s="26"/>
      <x:c r="AG505" s="26"/>
      <x:c r="AH505" s="26"/>
      <x:c r="AI505" s="26"/>
      <x:c r="AJ505" s="26"/>
      <x:c r="AK505" s="26"/>
      <x:c r="AL505" s="26"/>
      <x:c r="AM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  <x:c r="R506" s="26"/>
      <x:c r="S506" s="26"/>
      <x:c r="T506" s="26"/>
      <x:c r="U506" s="26"/>
      <x:c r="V506" s="26"/>
      <x:c r="W506" s="26"/>
      <x:c r="X506" s="26"/>
      <x:c r="Y506" s="26"/>
      <x:c r="Z506" s="26"/>
      <x:c r="AA506" s="26"/>
      <x:c r="AB506" s="26"/>
      <x:c r="AC506" s="26"/>
      <x:c r="AD506" s="26"/>
      <x:c r="AE506" s="26"/>
      <x:c r="AF506" s="26"/>
      <x:c r="AG506" s="26"/>
      <x:c r="AH506" s="26"/>
      <x:c r="AI506" s="26"/>
      <x:c r="AJ506" s="26"/>
      <x:c r="AK506" s="26"/>
      <x:c r="AL506" s="26"/>
      <x:c r="AM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  <x:c r="R507" s="26"/>
      <x:c r="S507" s="26"/>
      <x:c r="T507" s="26"/>
      <x:c r="U507" s="26"/>
      <x:c r="V507" s="26"/>
      <x:c r="W507" s="26"/>
      <x:c r="X507" s="26"/>
      <x:c r="Y507" s="26"/>
      <x:c r="Z507" s="26"/>
      <x:c r="AA507" s="26"/>
      <x:c r="AB507" s="26"/>
      <x:c r="AC507" s="26"/>
      <x:c r="AD507" s="26"/>
      <x:c r="AE507" s="26"/>
      <x:c r="AF507" s="26"/>
      <x:c r="AG507" s="26"/>
      <x:c r="AH507" s="26"/>
      <x:c r="AI507" s="26"/>
      <x:c r="AJ507" s="26"/>
      <x:c r="AK507" s="26"/>
      <x:c r="AL507" s="26"/>
      <x:c r="AM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  <x:c r="R508" s="26"/>
      <x:c r="S508" s="26"/>
      <x:c r="T508" s="26"/>
      <x:c r="U508" s="26"/>
      <x:c r="V508" s="26"/>
      <x:c r="W508" s="26"/>
      <x:c r="X508" s="26"/>
      <x:c r="Y508" s="26"/>
      <x:c r="Z508" s="26"/>
      <x:c r="AA508" s="26"/>
      <x:c r="AB508" s="26"/>
      <x:c r="AC508" s="26"/>
      <x:c r="AD508" s="26"/>
      <x:c r="AE508" s="26"/>
      <x:c r="AF508" s="26"/>
      <x:c r="AG508" s="26"/>
      <x:c r="AH508" s="26"/>
      <x:c r="AI508" s="26"/>
      <x:c r="AJ508" s="26"/>
      <x:c r="AK508" s="26"/>
      <x:c r="AL508" s="26"/>
      <x:c r="AM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  <x:c r="R509" s="26"/>
      <x:c r="S509" s="26"/>
      <x:c r="T509" s="26"/>
      <x:c r="U509" s="26"/>
      <x:c r="V509" s="26"/>
      <x:c r="W509" s="26"/>
      <x:c r="X509" s="26"/>
      <x:c r="Y509" s="26"/>
      <x:c r="Z509" s="26"/>
      <x:c r="AA509" s="26"/>
      <x:c r="AB509" s="26"/>
      <x:c r="AC509" s="26"/>
      <x:c r="AD509" s="26"/>
      <x:c r="AE509" s="26"/>
      <x:c r="AF509" s="26"/>
      <x:c r="AG509" s="26"/>
      <x:c r="AH509" s="26"/>
      <x:c r="AI509" s="26"/>
      <x:c r="AJ509" s="26"/>
      <x:c r="AK509" s="26"/>
      <x:c r="AL509" s="26"/>
      <x:c r="AM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  <x:c r="R510" s="26"/>
      <x:c r="S510" s="26"/>
      <x:c r="T510" s="26"/>
      <x:c r="U510" s="26"/>
      <x:c r="V510" s="26"/>
      <x:c r="W510" s="26"/>
      <x:c r="X510" s="26"/>
      <x:c r="Y510" s="26"/>
      <x:c r="Z510" s="26"/>
      <x:c r="AA510" s="26"/>
      <x:c r="AB510" s="26"/>
      <x:c r="AC510" s="26"/>
      <x:c r="AD510" s="26"/>
      <x:c r="AE510" s="26"/>
      <x:c r="AF510" s="26"/>
      <x:c r="AG510" s="26"/>
      <x:c r="AH510" s="26"/>
      <x:c r="AI510" s="26"/>
      <x:c r="AJ510" s="26"/>
      <x:c r="AK510" s="26"/>
      <x:c r="AL510" s="26"/>
      <x:c r="AM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  <x:c r="R511" s="26"/>
      <x:c r="S511" s="26"/>
      <x:c r="T511" s="26"/>
      <x:c r="U511" s="26"/>
      <x:c r="V511" s="26"/>
      <x:c r="W511" s="26"/>
      <x:c r="X511" s="26"/>
      <x:c r="Y511" s="26"/>
      <x:c r="Z511" s="26"/>
      <x:c r="AA511" s="26"/>
      <x:c r="AB511" s="26"/>
      <x:c r="AC511" s="26"/>
      <x:c r="AD511" s="26"/>
      <x:c r="AE511" s="26"/>
      <x:c r="AF511" s="26"/>
      <x:c r="AG511" s="26"/>
      <x:c r="AH511" s="26"/>
      <x:c r="AI511" s="26"/>
      <x:c r="AJ511" s="26"/>
      <x:c r="AK511" s="26"/>
      <x:c r="AL511" s="26"/>
      <x:c r="AM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  <x:c r="R512" s="26"/>
      <x:c r="S512" s="26"/>
      <x:c r="T512" s="26"/>
      <x:c r="U512" s="26"/>
      <x:c r="V512" s="26"/>
      <x:c r="W512" s="26"/>
      <x:c r="X512" s="26"/>
      <x:c r="Y512" s="26"/>
      <x:c r="Z512" s="26"/>
      <x:c r="AA512" s="26"/>
      <x:c r="AB512" s="26"/>
      <x:c r="AC512" s="26"/>
      <x:c r="AD512" s="26"/>
      <x:c r="AE512" s="26"/>
      <x:c r="AF512" s="26"/>
      <x:c r="AG512" s="26"/>
      <x:c r="AH512" s="26"/>
      <x:c r="AI512" s="26"/>
      <x:c r="AJ512" s="26"/>
      <x:c r="AK512" s="26"/>
      <x:c r="AL512" s="26"/>
      <x:c r="AM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  <x:c r="R513" s="26"/>
      <x:c r="S513" s="26"/>
      <x:c r="T513" s="26"/>
      <x:c r="U513" s="26"/>
      <x:c r="V513" s="26"/>
      <x:c r="W513" s="26"/>
      <x:c r="X513" s="26"/>
      <x:c r="Y513" s="26"/>
      <x:c r="Z513" s="26"/>
      <x:c r="AA513" s="26"/>
      <x:c r="AB513" s="26"/>
      <x:c r="AC513" s="26"/>
      <x:c r="AD513" s="26"/>
      <x:c r="AE513" s="26"/>
      <x:c r="AF513" s="26"/>
      <x:c r="AG513" s="26"/>
      <x:c r="AH513" s="26"/>
      <x:c r="AI513" s="26"/>
      <x:c r="AJ513" s="26"/>
      <x:c r="AK513" s="26"/>
      <x:c r="AL513" s="26"/>
      <x:c r="AM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  <x:c r="R514" s="26"/>
      <x:c r="S514" s="26"/>
      <x:c r="T514" s="26"/>
      <x:c r="U514" s="26"/>
      <x:c r="V514" s="26"/>
      <x:c r="W514" s="26"/>
      <x:c r="X514" s="26"/>
      <x:c r="Y514" s="26"/>
      <x:c r="Z514" s="26"/>
      <x:c r="AA514" s="26"/>
      <x:c r="AB514" s="26"/>
      <x:c r="AC514" s="26"/>
      <x:c r="AD514" s="26"/>
      <x:c r="AE514" s="26"/>
      <x:c r="AF514" s="26"/>
      <x:c r="AG514" s="26"/>
      <x:c r="AH514" s="26"/>
      <x:c r="AI514" s="26"/>
      <x:c r="AJ514" s="26"/>
      <x:c r="AK514" s="26"/>
      <x:c r="AL514" s="26"/>
      <x:c r="AM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  <x:c r="R515" s="26"/>
      <x:c r="S515" s="26"/>
      <x:c r="T515" s="26"/>
      <x:c r="U515" s="26"/>
      <x:c r="V515" s="26"/>
      <x:c r="W515" s="26"/>
      <x:c r="X515" s="26"/>
      <x:c r="Y515" s="26"/>
      <x:c r="Z515" s="26"/>
      <x:c r="AA515" s="26"/>
      <x:c r="AB515" s="26"/>
      <x:c r="AC515" s="26"/>
      <x:c r="AD515" s="26"/>
      <x:c r="AE515" s="26"/>
      <x:c r="AF515" s="26"/>
      <x:c r="AG515" s="26"/>
      <x:c r="AH515" s="26"/>
      <x:c r="AI515" s="26"/>
      <x:c r="AJ515" s="26"/>
      <x:c r="AK515" s="26"/>
      <x:c r="AL515" s="26"/>
      <x:c r="AM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  <x:c r="R516" s="26"/>
      <x:c r="S516" s="26"/>
      <x:c r="T516" s="26"/>
      <x:c r="U516" s="26"/>
      <x:c r="V516" s="26"/>
      <x:c r="W516" s="26"/>
      <x:c r="X516" s="26"/>
      <x:c r="Y516" s="26"/>
      <x:c r="Z516" s="26"/>
      <x:c r="AA516" s="26"/>
      <x:c r="AB516" s="26"/>
      <x:c r="AC516" s="26"/>
      <x:c r="AD516" s="26"/>
      <x:c r="AE516" s="26"/>
      <x:c r="AF516" s="26"/>
      <x:c r="AG516" s="26"/>
      <x:c r="AH516" s="26"/>
      <x:c r="AI516" s="26"/>
      <x:c r="AJ516" s="26"/>
      <x:c r="AK516" s="26"/>
      <x:c r="AL516" s="26"/>
      <x:c r="AM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  <x:c r="R517" s="26"/>
      <x:c r="S517" s="26"/>
      <x:c r="T517" s="26"/>
      <x:c r="U517" s="26"/>
      <x:c r="V517" s="26"/>
      <x:c r="W517" s="26"/>
      <x:c r="X517" s="26"/>
      <x:c r="Y517" s="26"/>
      <x:c r="Z517" s="26"/>
      <x:c r="AA517" s="26"/>
      <x:c r="AB517" s="26"/>
      <x:c r="AC517" s="26"/>
      <x:c r="AD517" s="26"/>
      <x:c r="AE517" s="26"/>
      <x:c r="AF517" s="26"/>
      <x:c r="AG517" s="26"/>
      <x:c r="AH517" s="26"/>
      <x:c r="AI517" s="26"/>
      <x:c r="AJ517" s="26"/>
      <x:c r="AK517" s="26"/>
      <x:c r="AL517" s="26"/>
      <x:c r="AM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  <x:c r="R518" s="26"/>
      <x:c r="S518" s="26"/>
      <x:c r="T518" s="26"/>
      <x:c r="U518" s="26"/>
      <x:c r="V518" s="26"/>
      <x:c r="W518" s="26"/>
      <x:c r="X518" s="26"/>
      <x:c r="Y518" s="26"/>
      <x:c r="Z518" s="26"/>
      <x:c r="AA518" s="26"/>
      <x:c r="AB518" s="26"/>
      <x:c r="AC518" s="26"/>
      <x:c r="AD518" s="26"/>
      <x:c r="AE518" s="26"/>
      <x:c r="AF518" s="26"/>
      <x:c r="AG518" s="26"/>
      <x:c r="AH518" s="26"/>
      <x:c r="AI518" s="26"/>
      <x:c r="AJ518" s="26"/>
      <x:c r="AK518" s="26"/>
      <x:c r="AL518" s="26"/>
      <x:c r="AM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  <x:c r="R519" s="26"/>
      <x:c r="S519" s="26"/>
      <x:c r="T519" s="26"/>
      <x:c r="U519" s="26"/>
      <x:c r="V519" s="26"/>
      <x:c r="W519" s="26"/>
      <x:c r="X519" s="26"/>
      <x:c r="Y519" s="26"/>
      <x:c r="Z519" s="26"/>
      <x:c r="AA519" s="26"/>
      <x:c r="AB519" s="26"/>
      <x:c r="AC519" s="26"/>
      <x:c r="AD519" s="26"/>
      <x:c r="AE519" s="26"/>
      <x:c r="AF519" s="26"/>
      <x:c r="AG519" s="26"/>
      <x:c r="AH519" s="26"/>
      <x:c r="AI519" s="26"/>
      <x:c r="AJ519" s="26"/>
      <x:c r="AK519" s="26"/>
      <x:c r="AL519" s="26"/>
      <x:c r="AM519" s="26"/>
    </x:row>
    <x:row r="520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  <x:c r="R520" s="26"/>
      <x:c r="S520" s="26"/>
      <x:c r="T520" s="26"/>
      <x:c r="U520" s="26"/>
      <x:c r="V520" s="26"/>
      <x:c r="W520" s="26"/>
      <x:c r="X520" s="26"/>
      <x:c r="Y520" s="26"/>
      <x:c r="Z520" s="26"/>
      <x:c r="AA520" s="26"/>
      <x:c r="AB520" s="26"/>
      <x:c r="AC520" s="26"/>
      <x:c r="AD520" s="26"/>
      <x:c r="AE520" s="26"/>
      <x:c r="AF520" s="26"/>
      <x:c r="AG520" s="26"/>
      <x:c r="AH520" s="26"/>
      <x:c r="AI520" s="26"/>
      <x:c r="AJ520" s="26"/>
      <x:c r="AK520" s="26"/>
      <x:c r="AL520" s="26"/>
      <x:c r="AM520" s="26"/>
    </x:row>
    <x:row r="52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  <x:c r="R521" s="26"/>
      <x:c r="S521" s="26"/>
      <x:c r="T521" s="26"/>
      <x:c r="U521" s="26"/>
      <x:c r="V521" s="26"/>
      <x:c r="W521" s="26"/>
      <x:c r="X521" s="26"/>
      <x:c r="Y521" s="26"/>
      <x:c r="Z521" s="26"/>
      <x:c r="AA521" s="26"/>
      <x:c r="AB521" s="26"/>
      <x:c r="AC521" s="26"/>
      <x:c r="AD521" s="26"/>
      <x:c r="AE521" s="26"/>
      <x:c r="AF521" s="26"/>
      <x:c r="AG521" s="26"/>
      <x:c r="AH521" s="26"/>
      <x:c r="AI521" s="26"/>
      <x:c r="AJ521" s="26"/>
      <x:c r="AK521" s="26"/>
      <x:c r="AL521" s="26"/>
      <x:c r="AM521" s="26"/>
    </x:row>
    <x:row r="522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  <x:c r="R522" s="26"/>
      <x:c r="S522" s="26"/>
      <x:c r="T522" s="26"/>
      <x:c r="U522" s="26"/>
      <x:c r="V522" s="26"/>
      <x:c r="W522" s="26"/>
      <x:c r="X522" s="26"/>
      <x:c r="Y522" s="26"/>
      <x:c r="Z522" s="26"/>
      <x:c r="AA522" s="26"/>
      <x:c r="AB522" s="26"/>
      <x:c r="AC522" s="26"/>
      <x:c r="AD522" s="26"/>
      <x:c r="AE522" s="26"/>
      <x:c r="AF522" s="26"/>
      <x:c r="AG522" s="26"/>
      <x:c r="AH522" s="26"/>
      <x:c r="AI522" s="26"/>
      <x:c r="AJ522" s="26"/>
      <x:c r="AK522" s="26"/>
      <x:c r="AL522" s="26"/>
      <x:c r="AM522" s="26"/>
    </x:row>
    <x:row r="523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  <x:c r="R523" s="26"/>
      <x:c r="S523" s="26"/>
      <x:c r="T523" s="26"/>
      <x:c r="U523" s="26"/>
      <x:c r="V523" s="26"/>
      <x:c r="W523" s="26"/>
      <x:c r="X523" s="26"/>
      <x:c r="Y523" s="26"/>
      <x:c r="Z523" s="26"/>
      <x:c r="AA523" s="26"/>
      <x:c r="AB523" s="26"/>
      <x:c r="AC523" s="26"/>
      <x:c r="AD523" s="26"/>
      <x:c r="AE523" s="26"/>
      <x:c r="AF523" s="26"/>
      <x:c r="AG523" s="26"/>
      <x:c r="AH523" s="26"/>
      <x:c r="AI523" s="26"/>
      <x:c r="AJ523" s="26"/>
      <x:c r="AK523" s="26"/>
      <x:c r="AL523" s="26"/>
      <x:c r="AM523" s="26"/>
    </x:row>
    <x:row r="524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  <x:c r="R524" s="26"/>
      <x:c r="S524" s="26"/>
      <x:c r="T524" s="26"/>
      <x:c r="U524" s="26"/>
      <x:c r="V524" s="26"/>
      <x:c r="W524" s="26"/>
      <x:c r="X524" s="26"/>
      <x:c r="Y524" s="26"/>
      <x:c r="Z524" s="26"/>
      <x:c r="AA524" s="26"/>
      <x:c r="AB524" s="26"/>
      <x:c r="AC524" s="26"/>
      <x:c r="AD524" s="26"/>
      <x:c r="AE524" s="26"/>
      <x:c r="AF524" s="26"/>
      <x:c r="AG524" s="26"/>
      <x:c r="AH524" s="26"/>
      <x:c r="AI524" s="26"/>
      <x:c r="AJ524" s="26"/>
      <x:c r="AK524" s="26"/>
      <x:c r="AL524" s="26"/>
      <x:c r="AM524" s="26"/>
    </x:row>
    <x:row r="525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  <x:c r="R525" s="26"/>
      <x:c r="S525" s="26"/>
      <x:c r="T525" s="26"/>
      <x:c r="U525" s="26"/>
      <x:c r="V525" s="26"/>
      <x:c r="W525" s="26"/>
      <x:c r="X525" s="26"/>
      <x:c r="Y525" s="26"/>
      <x:c r="Z525" s="26"/>
      <x:c r="AA525" s="26"/>
      <x:c r="AB525" s="26"/>
      <x:c r="AC525" s="26"/>
      <x:c r="AD525" s="26"/>
      <x:c r="AE525" s="26"/>
      <x:c r="AF525" s="26"/>
      <x:c r="AG525" s="26"/>
      <x:c r="AH525" s="26"/>
      <x:c r="AI525" s="26"/>
      <x:c r="AJ525" s="26"/>
      <x:c r="AK525" s="26"/>
      <x:c r="AL525" s="26"/>
      <x:c r="AM525" s="26"/>
    </x:row>
    <x:row r="526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  <x:c r="R526" s="26"/>
      <x:c r="S526" s="26"/>
      <x:c r="T526" s="26"/>
      <x:c r="U526" s="26"/>
      <x:c r="V526" s="26"/>
      <x:c r="W526" s="26"/>
      <x:c r="X526" s="26"/>
      <x:c r="Y526" s="26"/>
      <x:c r="Z526" s="26"/>
      <x:c r="AA526" s="26"/>
      <x:c r="AB526" s="26"/>
      <x:c r="AC526" s="26"/>
      <x:c r="AD526" s="26"/>
      <x:c r="AE526" s="26"/>
      <x:c r="AF526" s="26"/>
      <x:c r="AG526" s="26"/>
      <x:c r="AH526" s="26"/>
      <x:c r="AI526" s="26"/>
      <x:c r="AJ526" s="26"/>
      <x:c r="AK526" s="26"/>
      <x:c r="AL526" s="26"/>
      <x:c r="AM526" s="26"/>
    </x:row>
    <x:row r="527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  <x:c r="R527" s="26"/>
      <x:c r="S527" s="26"/>
      <x:c r="T527" s="26"/>
      <x:c r="U527" s="26"/>
      <x:c r="V527" s="26"/>
      <x:c r="W527" s="26"/>
      <x:c r="X527" s="26"/>
      <x:c r="Y527" s="26"/>
      <x:c r="Z527" s="26"/>
      <x:c r="AA527" s="26"/>
      <x:c r="AB527" s="26"/>
      <x:c r="AC527" s="26"/>
      <x:c r="AD527" s="26"/>
      <x:c r="AE527" s="26"/>
      <x:c r="AF527" s="26"/>
      <x:c r="AG527" s="26"/>
      <x:c r="AH527" s="26"/>
      <x:c r="AI527" s="26"/>
      <x:c r="AJ527" s="26"/>
      <x:c r="AK527" s="26"/>
      <x:c r="AL527" s="26"/>
      <x:c r="AM527" s="26"/>
    </x:row>
    <x:row r="528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  <x:c r="R528" s="26"/>
      <x:c r="S528" s="26"/>
      <x:c r="T528" s="26"/>
      <x:c r="U528" s="26"/>
      <x:c r="V528" s="26"/>
      <x:c r="W528" s="26"/>
      <x:c r="X528" s="26"/>
      <x:c r="Y528" s="26"/>
      <x:c r="Z528" s="26"/>
      <x:c r="AA528" s="26"/>
      <x:c r="AB528" s="26"/>
      <x:c r="AC528" s="26"/>
      <x:c r="AD528" s="26"/>
      <x:c r="AE528" s="26"/>
      <x:c r="AF528" s="26"/>
      <x:c r="AG528" s="26"/>
      <x:c r="AH528" s="26"/>
      <x:c r="AI528" s="26"/>
      <x:c r="AJ528" s="26"/>
      <x:c r="AK528" s="26"/>
      <x:c r="AL528" s="26"/>
      <x:c r="AM528" s="26"/>
    </x:row>
    <x:row r="529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  <x:c r="R529" s="26"/>
      <x:c r="S529" s="26"/>
      <x:c r="T529" s="26"/>
      <x:c r="U529" s="26"/>
      <x:c r="V529" s="26"/>
      <x:c r="W529" s="26"/>
      <x:c r="X529" s="26"/>
      <x:c r="Y529" s="26"/>
      <x:c r="Z529" s="26"/>
      <x:c r="AA529" s="26"/>
      <x:c r="AB529" s="26"/>
      <x:c r="AC529" s="26"/>
      <x:c r="AD529" s="26"/>
      <x:c r="AE529" s="26"/>
      <x:c r="AF529" s="26"/>
      <x:c r="AG529" s="26"/>
      <x:c r="AH529" s="26"/>
      <x:c r="AI529" s="26"/>
      <x:c r="AJ529" s="26"/>
      <x:c r="AK529" s="26"/>
      <x:c r="AL529" s="26"/>
      <x:c r="AM529" s="26"/>
    </x:row>
    <x:row r="530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  <x:c r="R530" s="26"/>
      <x:c r="S530" s="26"/>
      <x:c r="T530" s="26"/>
      <x:c r="U530" s="26"/>
      <x:c r="V530" s="26"/>
      <x:c r="W530" s="26"/>
      <x:c r="X530" s="26"/>
      <x:c r="Y530" s="26"/>
      <x:c r="Z530" s="26"/>
      <x:c r="AA530" s="26"/>
      <x:c r="AB530" s="26"/>
      <x:c r="AC530" s="26"/>
      <x:c r="AD530" s="26"/>
      <x:c r="AE530" s="26"/>
      <x:c r="AF530" s="26"/>
      <x:c r="AG530" s="26"/>
      <x:c r="AH530" s="26"/>
      <x:c r="AI530" s="26"/>
      <x:c r="AJ530" s="26"/>
      <x:c r="AK530" s="26"/>
      <x:c r="AL530" s="26"/>
      <x:c r="AM530" s="26"/>
    </x:row>
    <x:row r="53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  <x:c r="R531" s="26"/>
      <x:c r="S531" s="26"/>
      <x:c r="T531" s="26"/>
      <x:c r="U531" s="26"/>
      <x:c r="V531" s="26"/>
      <x:c r="W531" s="26"/>
      <x:c r="X531" s="26"/>
      <x:c r="Y531" s="26"/>
      <x:c r="Z531" s="26"/>
      <x:c r="AA531" s="26"/>
      <x:c r="AB531" s="26"/>
      <x:c r="AC531" s="26"/>
      <x:c r="AD531" s="26"/>
      <x:c r="AE531" s="26"/>
      <x:c r="AF531" s="26"/>
      <x:c r="AG531" s="26"/>
      <x:c r="AH531" s="26"/>
      <x:c r="AI531" s="26"/>
      <x:c r="AJ531" s="26"/>
      <x:c r="AK531" s="26"/>
      <x:c r="AL531" s="26"/>
      <x:c r="AM531" s="26"/>
    </x:row>
    <x:row r="532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  <x:c r="R532" s="26"/>
      <x:c r="S532" s="26"/>
      <x:c r="T532" s="26"/>
      <x:c r="U532" s="26"/>
      <x:c r="V532" s="26"/>
      <x:c r="W532" s="26"/>
      <x:c r="X532" s="26"/>
      <x:c r="Y532" s="26"/>
      <x:c r="Z532" s="26"/>
      <x:c r="AA532" s="26"/>
      <x:c r="AB532" s="26"/>
      <x:c r="AC532" s="26"/>
      <x:c r="AD532" s="26"/>
      <x:c r="AE532" s="26"/>
      <x:c r="AF532" s="26"/>
      <x:c r="AG532" s="26"/>
      <x:c r="AH532" s="26"/>
      <x:c r="AI532" s="26"/>
      <x:c r="AJ532" s="26"/>
      <x:c r="AK532" s="26"/>
      <x:c r="AL532" s="26"/>
      <x:c r="AM532" s="26"/>
    </x:row>
    <x:row r="533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  <x:c r="R533" s="26"/>
      <x:c r="S533" s="26"/>
      <x:c r="T533" s="26"/>
      <x:c r="U533" s="26"/>
      <x:c r="V533" s="26"/>
      <x:c r="W533" s="26"/>
      <x:c r="X533" s="26"/>
      <x:c r="Y533" s="26"/>
      <x:c r="Z533" s="26"/>
      <x:c r="AA533" s="26"/>
      <x:c r="AB533" s="26"/>
      <x:c r="AC533" s="26"/>
      <x:c r="AD533" s="26"/>
      <x:c r="AE533" s="26"/>
      <x:c r="AF533" s="26"/>
      <x:c r="AG533" s="26"/>
      <x:c r="AH533" s="26"/>
      <x:c r="AI533" s="26"/>
      <x:c r="AJ533" s="26"/>
      <x:c r="AK533" s="26"/>
      <x:c r="AL533" s="26"/>
      <x:c r="AM533" s="26"/>
    </x:row>
    <x:row r="534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  <x:c r="R534" s="26"/>
      <x:c r="S534" s="26"/>
      <x:c r="T534" s="26"/>
      <x:c r="U534" s="26"/>
      <x:c r="V534" s="26"/>
      <x:c r="W534" s="26"/>
      <x:c r="X534" s="26"/>
      <x:c r="Y534" s="26"/>
      <x:c r="Z534" s="26"/>
      <x:c r="AA534" s="26"/>
      <x:c r="AB534" s="26"/>
      <x:c r="AC534" s="26"/>
      <x:c r="AD534" s="26"/>
      <x:c r="AE534" s="26"/>
      <x:c r="AF534" s="26"/>
      <x:c r="AG534" s="26"/>
      <x:c r="AH534" s="26"/>
      <x:c r="AI534" s="26"/>
      <x:c r="AJ534" s="26"/>
      <x:c r="AK534" s="26"/>
      <x:c r="AL534" s="26"/>
      <x:c r="AM534" s="26"/>
    </x:row>
    <x:row r="535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  <x:c r="R535" s="26"/>
      <x:c r="S535" s="26"/>
      <x:c r="T535" s="26"/>
      <x:c r="U535" s="26"/>
      <x:c r="V535" s="26"/>
      <x:c r="W535" s="26"/>
      <x:c r="X535" s="26"/>
      <x:c r="Y535" s="26"/>
      <x:c r="Z535" s="26"/>
      <x:c r="AA535" s="26"/>
      <x:c r="AB535" s="26"/>
      <x:c r="AC535" s="26"/>
      <x:c r="AD535" s="26"/>
      <x:c r="AE535" s="26"/>
      <x:c r="AF535" s="26"/>
      <x:c r="AG535" s="26"/>
      <x:c r="AH535" s="26"/>
      <x:c r="AI535" s="26"/>
      <x:c r="AJ535" s="26"/>
      <x:c r="AK535" s="26"/>
      <x:c r="AL535" s="26"/>
      <x:c r="AM535" s="26"/>
    </x:row>
    <x:row r="536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  <x:c r="R536" s="26"/>
      <x:c r="S536" s="26"/>
      <x:c r="T536" s="26"/>
      <x:c r="U536" s="26"/>
      <x:c r="V536" s="26"/>
      <x:c r="W536" s="26"/>
      <x:c r="X536" s="26"/>
      <x:c r="Y536" s="26"/>
      <x:c r="Z536" s="26"/>
      <x:c r="AA536" s="26"/>
      <x:c r="AB536" s="26"/>
      <x:c r="AC536" s="26"/>
      <x:c r="AD536" s="26"/>
      <x:c r="AE536" s="26"/>
      <x:c r="AF536" s="26"/>
      <x:c r="AG536" s="26"/>
      <x:c r="AH536" s="26"/>
      <x:c r="AI536" s="26"/>
      <x:c r="AJ536" s="26"/>
      <x:c r="AK536" s="26"/>
      <x:c r="AL536" s="26"/>
      <x:c r="AM536" s="26"/>
    </x:row>
    <x:row r="537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  <x:c r="R537" s="26"/>
      <x:c r="S537" s="26"/>
      <x:c r="T537" s="26"/>
      <x:c r="U537" s="26"/>
      <x:c r="V537" s="26"/>
      <x:c r="W537" s="26"/>
      <x:c r="X537" s="26"/>
      <x:c r="Y537" s="26"/>
      <x:c r="Z537" s="26"/>
      <x:c r="AA537" s="26"/>
      <x:c r="AB537" s="26"/>
      <x:c r="AC537" s="26"/>
      <x:c r="AD537" s="26"/>
      <x:c r="AE537" s="26"/>
      <x:c r="AF537" s="26"/>
      <x:c r="AG537" s="26"/>
      <x:c r="AH537" s="26"/>
      <x:c r="AI537" s="26"/>
      <x:c r="AJ537" s="26"/>
      <x:c r="AK537" s="26"/>
      <x:c r="AL537" s="26"/>
      <x:c r="AM537" s="26"/>
    </x:row>
    <x:row r="538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  <x:c r="R538" s="26"/>
      <x:c r="S538" s="26"/>
      <x:c r="T538" s="26"/>
      <x:c r="U538" s="26"/>
      <x:c r="V538" s="26"/>
      <x:c r="W538" s="26"/>
      <x:c r="X538" s="26"/>
      <x:c r="Y538" s="26"/>
      <x:c r="Z538" s="26"/>
      <x:c r="AA538" s="26"/>
      <x:c r="AB538" s="26"/>
      <x:c r="AC538" s="26"/>
      <x:c r="AD538" s="26"/>
      <x:c r="AE538" s="26"/>
      <x:c r="AF538" s="26"/>
      <x:c r="AG538" s="26"/>
      <x:c r="AH538" s="26"/>
      <x:c r="AI538" s="26"/>
      <x:c r="AJ538" s="26"/>
      <x:c r="AK538" s="26"/>
      <x:c r="AL538" s="26"/>
      <x:c r="AM538" s="26"/>
    </x:row>
    <x:row r="539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  <x:c r="R539" s="26"/>
      <x:c r="S539" s="26"/>
      <x:c r="T539" s="26"/>
      <x:c r="U539" s="26"/>
      <x:c r="V539" s="26"/>
      <x:c r="W539" s="26"/>
      <x:c r="X539" s="26"/>
      <x:c r="Y539" s="26"/>
      <x:c r="Z539" s="26"/>
      <x:c r="AA539" s="26"/>
      <x:c r="AB539" s="26"/>
      <x:c r="AC539" s="26"/>
      <x:c r="AD539" s="26"/>
      <x:c r="AE539" s="26"/>
      <x:c r="AF539" s="26"/>
      <x:c r="AG539" s="26"/>
      <x:c r="AH539" s="26"/>
      <x:c r="AI539" s="26"/>
      <x:c r="AJ539" s="26"/>
      <x:c r="AK539" s="26"/>
      <x:c r="AL539" s="26"/>
      <x:c r="AM539" s="26"/>
    </x:row>
    <x:row r="540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  <x:c r="R540" s="26"/>
      <x:c r="S540" s="26"/>
      <x:c r="T540" s="26"/>
      <x:c r="U540" s="26"/>
      <x:c r="V540" s="26"/>
      <x:c r="W540" s="26"/>
      <x:c r="X540" s="26"/>
      <x:c r="Y540" s="26"/>
      <x:c r="Z540" s="26"/>
      <x:c r="AA540" s="26"/>
      <x:c r="AB540" s="26"/>
      <x:c r="AC540" s="26"/>
      <x:c r="AD540" s="26"/>
      <x:c r="AE540" s="26"/>
      <x:c r="AF540" s="26"/>
      <x:c r="AG540" s="26"/>
      <x:c r="AH540" s="26"/>
      <x:c r="AI540" s="26"/>
      <x:c r="AJ540" s="26"/>
      <x:c r="AK540" s="26"/>
      <x:c r="AL540" s="26"/>
      <x:c r="AM540" s="26"/>
    </x:row>
    <x:row r="54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  <x:c r="R541" s="26"/>
      <x:c r="S541" s="26"/>
      <x:c r="T541" s="26"/>
      <x:c r="U541" s="26"/>
      <x:c r="V541" s="26"/>
      <x:c r="W541" s="26"/>
      <x:c r="X541" s="26"/>
      <x:c r="Y541" s="26"/>
      <x:c r="Z541" s="26"/>
      <x:c r="AA541" s="26"/>
      <x:c r="AB541" s="26"/>
      <x:c r="AC541" s="26"/>
      <x:c r="AD541" s="26"/>
      <x:c r="AE541" s="26"/>
      <x:c r="AF541" s="26"/>
      <x:c r="AG541" s="26"/>
      <x:c r="AH541" s="26"/>
      <x:c r="AI541" s="26"/>
      <x:c r="AJ541" s="26"/>
      <x:c r="AK541" s="26"/>
      <x:c r="AL541" s="26"/>
      <x:c r="AM541" s="26"/>
    </x:row>
    <x:row r="542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  <x:c r="R542" s="26"/>
      <x:c r="S542" s="26"/>
      <x:c r="T542" s="26"/>
      <x:c r="U542" s="26"/>
      <x:c r="V542" s="26"/>
      <x:c r="W542" s="26"/>
      <x:c r="X542" s="26"/>
      <x:c r="Y542" s="26"/>
      <x:c r="Z542" s="26"/>
      <x:c r="AA542" s="26"/>
      <x:c r="AB542" s="26"/>
      <x:c r="AC542" s="26"/>
      <x:c r="AD542" s="26"/>
      <x:c r="AE542" s="26"/>
      <x:c r="AF542" s="26"/>
      <x:c r="AG542" s="26"/>
      <x:c r="AH542" s="26"/>
      <x:c r="AI542" s="26"/>
      <x:c r="AJ542" s="26"/>
      <x:c r="AK542" s="26"/>
      <x:c r="AL542" s="26"/>
      <x:c r="AM542" s="26"/>
    </x:row>
    <x:row r="543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  <x:c r="R543" s="26"/>
      <x:c r="S543" s="26"/>
      <x:c r="T543" s="26"/>
      <x:c r="U543" s="26"/>
      <x:c r="V543" s="26"/>
      <x:c r="W543" s="26"/>
      <x:c r="X543" s="26"/>
      <x:c r="Y543" s="26"/>
      <x:c r="Z543" s="26"/>
      <x:c r="AA543" s="26"/>
      <x:c r="AB543" s="26"/>
      <x:c r="AC543" s="26"/>
      <x:c r="AD543" s="26"/>
      <x:c r="AE543" s="26"/>
      <x:c r="AF543" s="26"/>
      <x:c r="AG543" s="26"/>
      <x:c r="AH543" s="26"/>
      <x:c r="AI543" s="26"/>
      <x:c r="AJ543" s="26"/>
      <x:c r="AK543" s="26"/>
      <x:c r="AL543" s="26"/>
      <x:c r="AM543" s="26"/>
    </x:row>
    <x:row r="544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  <x:c r="R544" s="26"/>
      <x:c r="S544" s="26"/>
      <x:c r="T544" s="26"/>
      <x:c r="U544" s="26"/>
      <x:c r="V544" s="26"/>
      <x:c r="W544" s="26"/>
      <x:c r="X544" s="26"/>
      <x:c r="Y544" s="26"/>
      <x:c r="Z544" s="26"/>
      <x:c r="AA544" s="26"/>
      <x:c r="AB544" s="26"/>
      <x:c r="AC544" s="26"/>
      <x:c r="AD544" s="26"/>
      <x:c r="AE544" s="26"/>
      <x:c r="AF544" s="26"/>
      <x:c r="AG544" s="26"/>
      <x:c r="AH544" s="26"/>
      <x:c r="AI544" s="26"/>
      <x:c r="AJ544" s="26"/>
      <x:c r="AK544" s="26"/>
      <x:c r="AL544" s="26"/>
      <x:c r="AM544" s="26"/>
    </x:row>
    <x:row r="545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  <x:c r="R545" s="26"/>
      <x:c r="S545" s="26"/>
      <x:c r="T545" s="26"/>
      <x:c r="U545" s="26"/>
      <x:c r="V545" s="26"/>
      <x:c r="W545" s="26"/>
      <x:c r="X545" s="26"/>
      <x:c r="Y545" s="26"/>
      <x:c r="Z545" s="26"/>
      <x:c r="AA545" s="26"/>
      <x:c r="AB545" s="26"/>
      <x:c r="AC545" s="26"/>
      <x:c r="AD545" s="26"/>
      <x:c r="AE545" s="26"/>
      <x:c r="AF545" s="26"/>
      <x:c r="AG545" s="26"/>
      <x:c r="AH545" s="26"/>
      <x:c r="AI545" s="26"/>
      <x:c r="AJ545" s="26"/>
      <x:c r="AK545" s="26"/>
      <x:c r="AL545" s="26"/>
      <x:c r="AM545" s="26"/>
    </x:row>
    <x:row r="546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  <x:c r="R546" s="26"/>
      <x:c r="S546" s="26"/>
      <x:c r="T546" s="26"/>
      <x:c r="U546" s="26"/>
      <x:c r="V546" s="26"/>
      <x:c r="W546" s="26"/>
      <x:c r="X546" s="26"/>
      <x:c r="Y546" s="26"/>
      <x:c r="Z546" s="26"/>
      <x:c r="AA546" s="26"/>
      <x:c r="AB546" s="26"/>
      <x:c r="AC546" s="26"/>
      <x:c r="AD546" s="26"/>
      <x:c r="AE546" s="26"/>
      <x:c r="AF546" s="26"/>
      <x:c r="AG546" s="26"/>
      <x:c r="AH546" s="26"/>
      <x:c r="AI546" s="26"/>
      <x:c r="AJ546" s="26"/>
      <x:c r="AK546" s="26"/>
      <x:c r="AL546" s="26"/>
      <x:c r="AM546" s="26"/>
    </x:row>
    <x:row r="547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  <x:c r="R547" s="26"/>
      <x:c r="S547" s="26"/>
      <x:c r="T547" s="26"/>
      <x:c r="U547" s="26"/>
      <x:c r="V547" s="26"/>
      <x:c r="W547" s="26"/>
      <x:c r="X547" s="26"/>
      <x:c r="Y547" s="26"/>
      <x:c r="Z547" s="26"/>
      <x:c r="AA547" s="26"/>
      <x:c r="AB547" s="26"/>
      <x:c r="AC547" s="26"/>
      <x:c r="AD547" s="26"/>
      <x:c r="AE547" s="26"/>
      <x:c r="AF547" s="26"/>
      <x:c r="AG547" s="26"/>
      <x:c r="AH547" s="26"/>
      <x:c r="AI547" s="26"/>
      <x:c r="AJ547" s="26"/>
      <x:c r="AK547" s="26"/>
      <x:c r="AL547" s="26"/>
      <x:c r="AM547" s="26"/>
    </x:row>
    <x:row r="548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  <x:c r="R548" s="26"/>
      <x:c r="S548" s="26"/>
      <x:c r="T548" s="26"/>
      <x:c r="U548" s="26"/>
      <x:c r="V548" s="26"/>
      <x:c r="W548" s="26"/>
      <x:c r="X548" s="26"/>
      <x:c r="Y548" s="26"/>
      <x:c r="Z548" s="26"/>
      <x:c r="AA548" s="26"/>
      <x:c r="AB548" s="26"/>
      <x:c r="AC548" s="26"/>
      <x:c r="AD548" s="26"/>
      <x:c r="AE548" s="26"/>
      <x:c r="AF548" s="26"/>
      <x:c r="AG548" s="26"/>
      <x:c r="AH548" s="26"/>
      <x:c r="AI548" s="26"/>
      <x:c r="AJ548" s="26"/>
      <x:c r="AK548" s="26"/>
      <x:c r="AL548" s="26"/>
      <x:c r="AM548" s="26"/>
    </x:row>
    <x:row r="549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  <x:c r="R549" s="26"/>
      <x:c r="S549" s="26"/>
      <x:c r="T549" s="26"/>
      <x:c r="U549" s="26"/>
      <x:c r="V549" s="26"/>
      <x:c r="W549" s="26"/>
      <x:c r="X549" s="26"/>
      <x:c r="Y549" s="26"/>
      <x:c r="Z549" s="26"/>
      <x:c r="AA549" s="26"/>
      <x:c r="AB549" s="26"/>
      <x:c r="AC549" s="26"/>
      <x:c r="AD549" s="26"/>
      <x:c r="AE549" s="26"/>
      <x:c r="AF549" s="26"/>
      <x:c r="AG549" s="26"/>
      <x:c r="AH549" s="26"/>
      <x:c r="AI549" s="26"/>
      <x:c r="AJ549" s="26"/>
      <x:c r="AK549" s="26"/>
      <x:c r="AL549" s="26"/>
      <x:c r="AM549" s="26"/>
    </x:row>
    <x:row r="550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  <x:c r="R550" s="26"/>
      <x:c r="S550" s="26"/>
      <x:c r="T550" s="26"/>
      <x:c r="U550" s="26"/>
      <x:c r="V550" s="26"/>
      <x:c r="W550" s="26"/>
      <x:c r="X550" s="26"/>
      <x:c r="Y550" s="26"/>
      <x:c r="Z550" s="26"/>
      <x:c r="AA550" s="26"/>
      <x:c r="AB550" s="26"/>
      <x:c r="AC550" s="26"/>
      <x:c r="AD550" s="26"/>
      <x:c r="AE550" s="26"/>
      <x:c r="AF550" s="26"/>
      <x:c r="AG550" s="26"/>
      <x:c r="AH550" s="26"/>
      <x:c r="AI550" s="26"/>
      <x:c r="AJ550" s="26"/>
      <x:c r="AK550" s="26"/>
      <x:c r="AL550" s="26"/>
      <x:c r="AM550" s="26"/>
    </x:row>
    <x:row r="55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  <x:c r="R551" s="26"/>
      <x:c r="S551" s="26"/>
      <x:c r="T551" s="26"/>
      <x:c r="U551" s="26"/>
      <x:c r="V551" s="26"/>
      <x:c r="W551" s="26"/>
      <x:c r="X551" s="26"/>
      <x:c r="Y551" s="26"/>
      <x:c r="Z551" s="26"/>
      <x:c r="AA551" s="26"/>
      <x:c r="AB551" s="26"/>
      <x:c r="AC551" s="26"/>
      <x:c r="AD551" s="26"/>
      <x:c r="AE551" s="26"/>
      <x:c r="AF551" s="26"/>
      <x:c r="AG551" s="26"/>
      <x:c r="AH551" s="26"/>
      <x:c r="AI551" s="26"/>
      <x:c r="AJ551" s="26"/>
      <x:c r="AK551" s="26"/>
      <x:c r="AL551" s="26"/>
      <x:c r="AM551" s="26"/>
    </x:row>
    <x:row r="552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  <x:c r="R552" s="26"/>
      <x:c r="S552" s="26"/>
      <x:c r="T552" s="26"/>
      <x:c r="U552" s="26"/>
      <x:c r="V552" s="26"/>
      <x:c r="W552" s="26"/>
      <x:c r="X552" s="26"/>
      <x:c r="Y552" s="26"/>
      <x:c r="Z552" s="26"/>
      <x:c r="AA552" s="26"/>
      <x:c r="AB552" s="26"/>
      <x:c r="AC552" s="26"/>
      <x:c r="AD552" s="26"/>
      <x:c r="AE552" s="26"/>
      <x:c r="AF552" s="26"/>
      <x:c r="AG552" s="26"/>
      <x:c r="AH552" s="26"/>
      <x:c r="AI552" s="26"/>
      <x:c r="AJ552" s="26"/>
      <x:c r="AK552" s="26"/>
      <x:c r="AL552" s="26"/>
      <x:c r="AM552" s="26"/>
    </x:row>
    <x:row r="553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  <x:c r="R553" s="26"/>
      <x:c r="S553" s="26"/>
      <x:c r="T553" s="26"/>
      <x:c r="U553" s="26"/>
      <x:c r="V553" s="26"/>
      <x:c r="W553" s="26"/>
      <x:c r="X553" s="26"/>
      <x:c r="Y553" s="26"/>
      <x:c r="Z553" s="26"/>
      <x:c r="AA553" s="26"/>
      <x:c r="AB553" s="26"/>
      <x:c r="AC553" s="26"/>
      <x:c r="AD553" s="26"/>
      <x:c r="AE553" s="26"/>
      <x:c r="AF553" s="26"/>
      <x:c r="AG553" s="26"/>
      <x:c r="AH553" s="26"/>
      <x:c r="AI553" s="26"/>
      <x:c r="AJ553" s="26"/>
      <x:c r="AK553" s="26"/>
      <x:c r="AL553" s="26"/>
      <x:c r="AM553" s="26"/>
    </x:row>
    <x:row r="554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  <x:c r="R554" s="26"/>
      <x:c r="S554" s="26"/>
      <x:c r="T554" s="26"/>
      <x:c r="U554" s="26"/>
      <x:c r="V554" s="26"/>
      <x:c r="W554" s="26"/>
      <x:c r="X554" s="26"/>
      <x:c r="Y554" s="26"/>
      <x:c r="Z554" s="26"/>
      <x:c r="AA554" s="26"/>
      <x:c r="AB554" s="26"/>
      <x:c r="AC554" s="26"/>
      <x:c r="AD554" s="26"/>
      <x:c r="AE554" s="26"/>
      <x:c r="AF554" s="26"/>
      <x:c r="AG554" s="26"/>
      <x:c r="AH554" s="26"/>
      <x:c r="AI554" s="26"/>
      <x:c r="AJ554" s="26"/>
      <x:c r="AK554" s="26"/>
      <x:c r="AL554" s="26"/>
      <x:c r="AM554" s="26"/>
    </x:row>
    <x:row r="555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  <x:c r="R555" s="26"/>
      <x:c r="S555" s="26"/>
      <x:c r="T555" s="26"/>
      <x:c r="U555" s="26"/>
      <x:c r="V555" s="26"/>
      <x:c r="W555" s="26"/>
      <x:c r="X555" s="26"/>
      <x:c r="Y555" s="26"/>
      <x:c r="Z555" s="26"/>
      <x:c r="AA555" s="26"/>
      <x:c r="AB555" s="26"/>
      <x:c r="AC555" s="26"/>
      <x:c r="AD555" s="26"/>
      <x:c r="AE555" s="26"/>
      <x:c r="AF555" s="26"/>
      <x:c r="AG555" s="26"/>
      <x:c r="AH555" s="26"/>
      <x:c r="AI555" s="26"/>
      <x:c r="AJ555" s="26"/>
      <x:c r="AK555" s="26"/>
      <x:c r="AL555" s="26"/>
      <x:c r="AM555" s="26"/>
    </x:row>
    <x:row r="556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  <x:c r="R556" s="26"/>
      <x:c r="S556" s="26"/>
      <x:c r="T556" s="26"/>
      <x:c r="U556" s="26"/>
      <x:c r="V556" s="26"/>
      <x:c r="W556" s="26"/>
      <x:c r="X556" s="26"/>
      <x:c r="Y556" s="26"/>
      <x:c r="Z556" s="26"/>
      <x:c r="AA556" s="26"/>
      <x:c r="AB556" s="26"/>
      <x:c r="AC556" s="26"/>
      <x:c r="AD556" s="26"/>
      <x:c r="AE556" s="26"/>
      <x:c r="AF556" s="26"/>
      <x:c r="AG556" s="26"/>
      <x:c r="AH556" s="26"/>
      <x:c r="AI556" s="26"/>
      <x:c r="AJ556" s="26"/>
      <x:c r="AK556" s="26"/>
      <x:c r="AL556" s="26"/>
      <x:c r="AM556" s="26"/>
    </x:row>
    <x:row r="557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  <x:c r="R557" s="26"/>
      <x:c r="S557" s="26"/>
      <x:c r="T557" s="26"/>
      <x:c r="U557" s="26"/>
      <x:c r="V557" s="26"/>
      <x:c r="W557" s="26"/>
      <x:c r="X557" s="26"/>
      <x:c r="Y557" s="26"/>
      <x:c r="Z557" s="26"/>
      <x:c r="AA557" s="26"/>
      <x:c r="AB557" s="26"/>
      <x:c r="AC557" s="26"/>
      <x:c r="AD557" s="26"/>
      <x:c r="AE557" s="26"/>
      <x:c r="AF557" s="26"/>
      <x:c r="AG557" s="26"/>
      <x:c r="AH557" s="26"/>
      <x:c r="AI557" s="26"/>
      <x:c r="AJ557" s="26"/>
      <x:c r="AK557" s="26"/>
      <x:c r="AL557" s="26"/>
      <x:c r="AM557" s="26"/>
    </x:row>
    <x:row r="558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  <x:c r="R558" s="26"/>
      <x:c r="S558" s="26"/>
      <x:c r="T558" s="26"/>
      <x:c r="U558" s="26"/>
      <x:c r="V558" s="26"/>
      <x:c r="W558" s="26"/>
      <x:c r="X558" s="26"/>
      <x:c r="Y558" s="26"/>
      <x:c r="Z558" s="26"/>
      <x:c r="AA558" s="26"/>
      <x:c r="AB558" s="26"/>
      <x:c r="AC558" s="26"/>
      <x:c r="AD558" s="26"/>
      <x:c r="AE558" s="26"/>
      <x:c r="AF558" s="26"/>
      <x:c r="AG558" s="26"/>
      <x:c r="AH558" s="26"/>
      <x:c r="AI558" s="26"/>
      <x:c r="AJ558" s="26"/>
      <x:c r="AK558" s="26"/>
      <x:c r="AL558" s="26"/>
      <x:c r="AM558" s="26"/>
    </x:row>
    <x:row r="559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  <x:c r="R559" s="26"/>
      <x:c r="S559" s="26"/>
      <x:c r="T559" s="26"/>
      <x:c r="U559" s="26"/>
      <x:c r="V559" s="26"/>
      <x:c r="W559" s="26"/>
      <x:c r="X559" s="26"/>
      <x:c r="Y559" s="26"/>
      <x:c r="Z559" s="26"/>
      <x:c r="AA559" s="26"/>
      <x:c r="AB559" s="26"/>
      <x:c r="AC559" s="26"/>
      <x:c r="AD559" s="26"/>
      <x:c r="AE559" s="26"/>
      <x:c r="AF559" s="26"/>
      <x:c r="AG559" s="26"/>
      <x:c r="AH559" s="26"/>
      <x:c r="AI559" s="26"/>
      <x:c r="AJ559" s="26"/>
      <x:c r="AK559" s="26"/>
      <x:c r="AL559" s="26"/>
      <x:c r="AM559" s="26"/>
    </x:row>
    <x:row r="560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  <x:c r="R560" s="26"/>
      <x:c r="S560" s="26"/>
      <x:c r="T560" s="26"/>
      <x:c r="U560" s="26"/>
      <x:c r="V560" s="26"/>
      <x:c r="W560" s="26"/>
      <x:c r="X560" s="26"/>
      <x:c r="Y560" s="26"/>
      <x:c r="Z560" s="26"/>
      <x:c r="AA560" s="26"/>
      <x:c r="AB560" s="26"/>
      <x:c r="AC560" s="26"/>
      <x:c r="AD560" s="26"/>
      <x:c r="AE560" s="26"/>
      <x:c r="AF560" s="26"/>
      <x:c r="AG560" s="26"/>
      <x:c r="AH560" s="26"/>
      <x:c r="AI560" s="26"/>
      <x:c r="AJ560" s="26"/>
      <x:c r="AK560" s="26"/>
      <x:c r="AL560" s="26"/>
      <x:c r="AM560" s="26"/>
    </x:row>
    <x:row r="56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  <x:c r="R561" s="26"/>
      <x:c r="S561" s="26"/>
      <x:c r="T561" s="26"/>
      <x:c r="U561" s="26"/>
      <x:c r="V561" s="26"/>
      <x:c r="W561" s="26"/>
      <x:c r="X561" s="26"/>
      <x:c r="Y561" s="26"/>
      <x:c r="Z561" s="26"/>
      <x:c r="AA561" s="26"/>
      <x:c r="AB561" s="26"/>
      <x:c r="AC561" s="26"/>
      <x:c r="AD561" s="26"/>
      <x:c r="AE561" s="26"/>
      <x:c r="AF561" s="26"/>
      <x:c r="AG561" s="26"/>
      <x:c r="AH561" s="26"/>
      <x:c r="AI561" s="26"/>
      <x:c r="AJ561" s="26"/>
      <x:c r="AK561" s="26"/>
      <x:c r="AL561" s="26"/>
      <x:c r="AM561" s="26"/>
    </x:row>
    <x:row r="562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  <x:c r="R562" s="26"/>
      <x:c r="S562" s="26"/>
      <x:c r="T562" s="26"/>
      <x:c r="U562" s="26"/>
      <x:c r="V562" s="26"/>
      <x:c r="W562" s="26"/>
      <x:c r="X562" s="26"/>
      <x:c r="Y562" s="26"/>
      <x:c r="Z562" s="26"/>
      <x:c r="AA562" s="26"/>
      <x:c r="AB562" s="26"/>
      <x:c r="AC562" s="26"/>
      <x:c r="AD562" s="26"/>
      <x:c r="AE562" s="26"/>
      <x:c r="AF562" s="26"/>
      <x:c r="AG562" s="26"/>
      <x:c r="AH562" s="26"/>
      <x:c r="AI562" s="26"/>
      <x:c r="AJ562" s="26"/>
      <x:c r="AK562" s="26"/>
      <x:c r="AL562" s="26"/>
      <x:c r="AM562" s="26"/>
    </x:row>
    <x:row r="563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  <x:c r="R563" s="26"/>
      <x:c r="S563" s="26"/>
      <x:c r="T563" s="26"/>
      <x:c r="U563" s="26"/>
      <x:c r="V563" s="26"/>
      <x:c r="W563" s="26"/>
      <x:c r="X563" s="26"/>
      <x:c r="Y563" s="26"/>
      <x:c r="Z563" s="26"/>
      <x:c r="AA563" s="26"/>
      <x:c r="AB563" s="26"/>
      <x:c r="AC563" s="26"/>
      <x:c r="AD563" s="26"/>
      <x:c r="AE563" s="26"/>
      <x:c r="AF563" s="26"/>
      <x:c r="AG563" s="26"/>
      <x:c r="AH563" s="26"/>
      <x:c r="AI563" s="26"/>
      <x:c r="AJ563" s="26"/>
      <x:c r="AK563" s="26"/>
      <x:c r="AL563" s="26"/>
      <x:c r="AM563" s="26"/>
    </x:row>
    <x:row r="564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  <x:c r="R564" s="26"/>
      <x:c r="S564" s="26"/>
      <x:c r="T564" s="26"/>
      <x:c r="U564" s="26"/>
      <x:c r="V564" s="26"/>
      <x:c r="W564" s="26"/>
      <x:c r="X564" s="26"/>
      <x:c r="Y564" s="26"/>
      <x:c r="Z564" s="26"/>
      <x:c r="AA564" s="26"/>
      <x:c r="AB564" s="26"/>
      <x:c r="AC564" s="26"/>
      <x:c r="AD564" s="26"/>
      <x:c r="AE564" s="26"/>
      <x:c r="AF564" s="26"/>
      <x:c r="AG564" s="26"/>
      <x:c r="AH564" s="26"/>
      <x:c r="AI564" s="26"/>
      <x:c r="AJ564" s="26"/>
      <x:c r="AK564" s="26"/>
      <x:c r="AL564" s="26"/>
      <x:c r="AM564" s="26"/>
    </x:row>
    <x:row r="565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  <x:c r="R565" s="26"/>
      <x:c r="S565" s="26"/>
      <x:c r="T565" s="26"/>
      <x:c r="U565" s="26"/>
      <x:c r="V565" s="26"/>
      <x:c r="W565" s="26"/>
      <x:c r="X565" s="26"/>
      <x:c r="Y565" s="26"/>
      <x:c r="Z565" s="26"/>
      <x:c r="AA565" s="26"/>
      <x:c r="AB565" s="26"/>
      <x:c r="AC565" s="26"/>
      <x:c r="AD565" s="26"/>
      <x:c r="AE565" s="26"/>
      <x:c r="AF565" s="26"/>
      <x:c r="AG565" s="26"/>
      <x:c r="AH565" s="26"/>
      <x:c r="AI565" s="26"/>
      <x:c r="AJ565" s="26"/>
      <x:c r="AK565" s="26"/>
      <x:c r="AL565" s="26"/>
      <x:c r="AM565" s="26"/>
    </x:row>
    <x:row r="566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  <x:c r="R566" s="26"/>
      <x:c r="S566" s="26"/>
      <x:c r="T566" s="26"/>
      <x:c r="U566" s="26"/>
      <x:c r="V566" s="26"/>
      <x:c r="W566" s="26"/>
      <x:c r="X566" s="26"/>
      <x:c r="Y566" s="26"/>
      <x:c r="Z566" s="26"/>
      <x:c r="AA566" s="26"/>
      <x:c r="AB566" s="26"/>
      <x:c r="AC566" s="26"/>
      <x:c r="AD566" s="26"/>
      <x:c r="AE566" s="26"/>
      <x:c r="AF566" s="26"/>
      <x:c r="AG566" s="26"/>
      <x:c r="AH566" s="26"/>
      <x:c r="AI566" s="26"/>
      <x:c r="AJ566" s="26"/>
      <x:c r="AK566" s="26"/>
      <x:c r="AL566" s="26"/>
      <x:c r="AM566" s="26"/>
    </x:row>
    <x:row r="567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  <x:c r="R567" s="26"/>
      <x:c r="S567" s="26"/>
      <x:c r="T567" s="26"/>
      <x:c r="U567" s="26"/>
      <x:c r="V567" s="26"/>
      <x:c r="W567" s="26"/>
      <x:c r="X567" s="26"/>
      <x:c r="Y567" s="26"/>
      <x:c r="Z567" s="26"/>
      <x:c r="AA567" s="26"/>
      <x:c r="AB567" s="26"/>
      <x:c r="AC567" s="26"/>
      <x:c r="AD567" s="26"/>
      <x:c r="AE567" s="26"/>
      <x:c r="AF567" s="26"/>
      <x:c r="AG567" s="26"/>
      <x:c r="AH567" s="26"/>
      <x:c r="AI567" s="26"/>
      <x:c r="AJ567" s="26"/>
      <x:c r="AK567" s="26"/>
      <x:c r="AL567" s="26"/>
      <x:c r="AM567" s="26"/>
    </x:row>
    <x:row r="568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  <x:c r="R568" s="26"/>
      <x:c r="S568" s="26"/>
      <x:c r="T568" s="26"/>
      <x:c r="U568" s="26"/>
      <x:c r="V568" s="26"/>
      <x:c r="W568" s="26"/>
      <x:c r="X568" s="26"/>
      <x:c r="Y568" s="26"/>
      <x:c r="Z568" s="26"/>
      <x:c r="AA568" s="26"/>
      <x:c r="AB568" s="26"/>
      <x:c r="AC568" s="26"/>
      <x:c r="AD568" s="26"/>
      <x:c r="AE568" s="26"/>
      <x:c r="AF568" s="26"/>
      <x:c r="AG568" s="26"/>
      <x:c r="AH568" s="26"/>
      <x:c r="AI568" s="26"/>
      <x:c r="AJ568" s="26"/>
      <x:c r="AK568" s="26"/>
      <x:c r="AL568" s="26"/>
      <x:c r="AM568" s="26"/>
    </x:row>
    <x:row r="569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  <x:c r="R569" s="26"/>
      <x:c r="S569" s="26"/>
      <x:c r="T569" s="26"/>
      <x:c r="U569" s="26"/>
      <x:c r="V569" s="26"/>
      <x:c r="W569" s="26"/>
      <x:c r="X569" s="26"/>
      <x:c r="Y569" s="26"/>
      <x:c r="Z569" s="26"/>
      <x:c r="AA569" s="26"/>
      <x:c r="AB569" s="26"/>
      <x:c r="AC569" s="26"/>
      <x:c r="AD569" s="26"/>
      <x:c r="AE569" s="26"/>
      <x:c r="AF569" s="26"/>
      <x:c r="AG569" s="26"/>
      <x:c r="AH569" s="26"/>
      <x:c r="AI569" s="26"/>
      <x:c r="AJ569" s="26"/>
      <x:c r="AK569" s="26"/>
      <x:c r="AL569" s="26"/>
      <x:c r="AM569" s="26"/>
    </x:row>
    <x:row r="570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  <x:c r="R570" s="26"/>
      <x:c r="S570" s="26"/>
      <x:c r="T570" s="26"/>
      <x:c r="U570" s="26"/>
      <x:c r="V570" s="26"/>
      <x:c r="W570" s="26"/>
      <x:c r="X570" s="26"/>
      <x:c r="Y570" s="26"/>
      <x:c r="Z570" s="26"/>
      <x:c r="AA570" s="26"/>
      <x:c r="AB570" s="26"/>
      <x:c r="AC570" s="26"/>
      <x:c r="AD570" s="26"/>
      <x:c r="AE570" s="26"/>
      <x:c r="AF570" s="26"/>
      <x:c r="AG570" s="26"/>
      <x:c r="AH570" s="26"/>
      <x:c r="AI570" s="26"/>
      <x:c r="AJ570" s="26"/>
      <x:c r="AK570" s="26"/>
      <x:c r="AL570" s="26"/>
      <x:c r="AM570" s="26"/>
    </x:row>
    <x:row r="57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  <x:c r="R571" s="26"/>
      <x:c r="S571" s="26"/>
      <x:c r="T571" s="26"/>
      <x:c r="U571" s="26"/>
      <x:c r="V571" s="26"/>
      <x:c r="W571" s="26"/>
      <x:c r="X571" s="26"/>
      <x:c r="Y571" s="26"/>
      <x:c r="Z571" s="26"/>
      <x:c r="AA571" s="26"/>
      <x:c r="AB571" s="26"/>
      <x:c r="AC571" s="26"/>
      <x:c r="AD571" s="26"/>
      <x:c r="AE571" s="26"/>
      <x:c r="AF571" s="26"/>
      <x:c r="AG571" s="26"/>
      <x:c r="AH571" s="26"/>
      <x:c r="AI571" s="26"/>
      <x:c r="AJ571" s="26"/>
      <x:c r="AK571" s="26"/>
      <x:c r="AL571" s="26"/>
      <x:c r="AM571" s="26"/>
    </x:row>
    <x:row r="572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  <x:c r="R572" s="26"/>
      <x:c r="S572" s="26"/>
      <x:c r="T572" s="26"/>
      <x:c r="U572" s="26"/>
      <x:c r="V572" s="26"/>
      <x:c r="W572" s="26"/>
      <x:c r="X572" s="26"/>
      <x:c r="Y572" s="26"/>
      <x:c r="Z572" s="26"/>
      <x:c r="AA572" s="26"/>
      <x:c r="AB572" s="26"/>
      <x:c r="AC572" s="26"/>
      <x:c r="AD572" s="26"/>
      <x:c r="AE572" s="26"/>
      <x:c r="AF572" s="26"/>
      <x:c r="AG572" s="26"/>
      <x:c r="AH572" s="26"/>
      <x:c r="AI572" s="26"/>
      <x:c r="AJ572" s="26"/>
      <x:c r="AK572" s="26"/>
      <x:c r="AL572" s="26"/>
      <x:c r="AM572" s="26"/>
    </x:row>
    <x:row r="573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  <x:c r="R573" s="26"/>
      <x:c r="S573" s="26"/>
      <x:c r="T573" s="26"/>
      <x:c r="U573" s="26"/>
      <x:c r="V573" s="26"/>
      <x:c r="W573" s="26"/>
      <x:c r="X573" s="26"/>
      <x:c r="Y573" s="26"/>
      <x:c r="Z573" s="26"/>
      <x:c r="AA573" s="26"/>
      <x:c r="AB573" s="26"/>
      <x:c r="AC573" s="26"/>
      <x:c r="AD573" s="26"/>
      <x:c r="AE573" s="26"/>
      <x:c r="AF573" s="26"/>
      <x:c r="AG573" s="26"/>
      <x:c r="AH573" s="26"/>
      <x:c r="AI573" s="26"/>
      <x:c r="AJ573" s="26"/>
      <x:c r="AK573" s="26"/>
      <x:c r="AL573" s="26"/>
      <x:c r="AM573" s="26"/>
    </x:row>
    <x:row r="574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  <x:c r="R574" s="26"/>
      <x:c r="S574" s="26"/>
      <x:c r="T574" s="26"/>
      <x:c r="U574" s="26"/>
      <x:c r="V574" s="26"/>
      <x:c r="W574" s="26"/>
      <x:c r="X574" s="26"/>
      <x:c r="Y574" s="26"/>
      <x:c r="Z574" s="26"/>
      <x:c r="AA574" s="26"/>
      <x:c r="AB574" s="26"/>
      <x:c r="AC574" s="26"/>
      <x:c r="AD574" s="26"/>
      <x:c r="AE574" s="26"/>
      <x:c r="AF574" s="26"/>
      <x:c r="AG574" s="26"/>
      <x:c r="AH574" s="26"/>
      <x:c r="AI574" s="26"/>
      <x:c r="AJ574" s="26"/>
      <x:c r="AK574" s="26"/>
      <x:c r="AL574" s="26"/>
      <x:c r="AM574" s="26"/>
    </x:row>
    <x:row r="575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  <x:c r="R575" s="26"/>
      <x:c r="S575" s="26"/>
      <x:c r="T575" s="26"/>
      <x:c r="U575" s="26"/>
      <x:c r="V575" s="26"/>
      <x:c r="W575" s="26"/>
      <x:c r="X575" s="26"/>
      <x:c r="Y575" s="26"/>
      <x:c r="Z575" s="26"/>
      <x:c r="AA575" s="26"/>
      <x:c r="AB575" s="26"/>
      <x:c r="AC575" s="26"/>
      <x:c r="AD575" s="26"/>
      <x:c r="AE575" s="26"/>
      <x:c r="AF575" s="26"/>
      <x:c r="AG575" s="26"/>
      <x:c r="AH575" s="26"/>
      <x:c r="AI575" s="26"/>
      <x:c r="AJ575" s="26"/>
      <x:c r="AK575" s="26"/>
      <x:c r="AL575" s="26"/>
      <x:c r="AM575" s="26"/>
    </x:row>
    <x:row r="576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  <x:c r="R576" s="26"/>
      <x:c r="S576" s="26"/>
      <x:c r="T576" s="26"/>
      <x:c r="U576" s="26"/>
      <x:c r="V576" s="26"/>
      <x:c r="W576" s="26"/>
      <x:c r="X576" s="26"/>
      <x:c r="Y576" s="26"/>
      <x:c r="Z576" s="26"/>
      <x:c r="AA576" s="26"/>
      <x:c r="AB576" s="26"/>
      <x:c r="AC576" s="26"/>
      <x:c r="AD576" s="26"/>
      <x:c r="AE576" s="26"/>
      <x:c r="AF576" s="26"/>
      <x:c r="AG576" s="26"/>
      <x:c r="AH576" s="26"/>
      <x:c r="AI576" s="26"/>
      <x:c r="AJ576" s="26"/>
      <x:c r="AK576" s="26"/>
      <x:c r="AL576" s="26"/>
      <x:c r="AM576" s="26"/>
    </x:row>
    <x:row r="577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  <x:c r="R577" s="26"/>
      <x:c r="S577" s="26"/>
      <x:c r="T577" s="26"/>
      <x:c r="U577" s="26"/>
      <x:c r="V577" s="26"/>
      <x:c r="W577" s="26"/>
      <x:c r="X577" s="26"/>
      <x:c r="Y577" s="26"/>
      <x:c r="Z577" s="26"/>
      <x:c r="AA577" s="26"/>
      <x:c r="AB577" s="26"/>
      <x:c r="AC577" s="26"/>
      <x:c r="AD577" s="26"/>
      <x:c r="AE577" s="26"/>
      <x:c r="AF577" s="26"/>
      <x:c r="AG577" s="26"/>
      <x:c r="AH577" s="26"/>
      <x:c r="AI577" s="26"/>
      <x:c r="AJ577" s="26"/>
      <x:c r="AK577" s="26"/>
      <x:c r="AL577" s="26"/>
      <x:c r="AM577" s="26"/>
    </x:row>
    <x:row r="578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  <x:c r="R578" s="26"/>
      <x:c r="S578" s="26"/>
      <x:c r="T578" s="26"/>
      <x:c r="U578" s="26"/>
      <x:c r="V578" s="26"/>
      <x:c r="W578" s="26"/>
      <x:c r="X578" s="26"/>
      <x:c r="Y578" s="26"/>
      <x:c r="Z578" s="26"/>
      <x:c r="AA578" s="26"/>
      <x:c r="AB578" s="26"/>
      <x:c r="AC578" s="26"/>
      <x:c r="AD578" s="26"/>
      <x:c r="AE578" s="26"/>
      <x:c r="AF578" s="26"/>
      <x:c r="AG578" s="26"/>
      <x:c r="AH578" s="26"/>
      <x:c r="AI578" s="26"/>
      <x:c r="AJ578" s="26"/>
      <x:c r="AK578" s="26"/>
      <x:c r="AL578" s="26"/>
      <x:c r="AM578" s="26"/>
    </x:row>
    <x:row r="579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  <x:c r="R579" s="26"/>
      <x:c r="S579" s="26"/>
      <x:c r="T579" s="26"/>
      <x:c r="U579" s="26"/>
      <x:c r="V579" s="26"/>
      <x:c r="W579" s="26"/>
      <x:c r="X579" s="26"/>
      <x:c r="Y579" s="26"/>
      <x:c r="Z579" s="26"/>
      <x:c r="AA579" s="26"/>
      <x:c r="AB579" s="26"/>
      <x:c r="AC579" s="26"/>
      <x:c r="AD579" s="26"/>
      <x:c r="AE579" s="26"/>
      <x:c r="AF579" s="26"/>
      <x:c r="AG579" s="26"/>
      <x:c r="AH579" s="26"/>
      <x:c r="AI579" s="26"/>
      <x:c r="AJ579" s="26"/>
      <x:c r="AK579" s="26"/>
      <x:c r="AL579" s="26"/>
      <x:c r="AM579" s="26"/>
    </x:row>
    <x:row r="580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  <x:c r="R580" s="26"/>
      <x:c r="S580" s="26"/>
      <x:c r="T580" s="26"/>
      <x:c r="U580" s="26"/>
      <x:c r="V580" s="26"/>
      <x:c r="W580" s="26"/>
      <x:c r="X580" s="26"/>
      <x:c r="Y580" s="26"/>
      <x:c r="Z580" s="26"/>
      <x:c r="AA580" s="26"/>
      <x:c r="AB580" s="26"/>
      <x:c r="AC580" s="26"/>
      <x:c r="AD580" s="26"/>
      <x:c r="AE580" s="26"/>
      <x:c r="AF580" s="26"/>
      <x:c r="AG580" s="26"/>
      <x:c r="AH580" s="26"/>
      <x:c r="AI580" s="26"/>
      <x:c r="AJ580" s="26"/>
      <x:c r="AK580" s="26"/>
      <x:c r="AL580" s="26"/>
      <x:c r="AM580" s="26"/>
    </x:row>
    <x:row r="58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  <x:c r="R581" s="26"/>
      <x:c r="S581" s="26"/>
      <x:c r="T581" s="26"/>
      <x:c r="U581" s="26"/>
      <x:c r="V581" s="26"/>
      <x:c r="W581" s="26"/>
      <x:c r="X581" s="26"/>
      <x:c r="Y581" s="26"/>
      <x:c r="Z581" s="26"/>
      <x:c r="AA581" s="26"/>
      <x:c r="AB581" s="26"/>
      <x:c r="AC581" s="26"/>
      <x:c r="AD581" s="26"/>
      <x:c r="AE581" s="26"/>
      <x:c r="AF581" s="26"/>
      <x:c r="AG581" s="26"/>
      <x:c r="AH581" s="26"/>
      <x:c r="AI581" s="26"/>
      <x:c r="AJ581" s="26"/>
      <x:c r="AK581" s="26"/>
      <x:c r="AL581" s="26"/>
      <x:c r="AM581" s="26"/>
    </x:row>
    <x:row r="582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  <x:c r="R582" s="26"/>
      <x:c r="S582" s="26"/>
      <x:c r="T582" s="26"/>
      <x:c r="U582" s="26"/>
      <x:c r="V582" s="26"/>
      <x:c r="W582" s="26"/>
      <x:c r="X582" s="26"/>
      <x:c r="Y582" s="26"/>
      <x:c r="Z582" s="26"/>
      <x:c r="AA582" s="26"/>
      <x:c r="AB582" s="26"/>
      <x:c r="AC582" s="26"/>
      <x:c r="AD582" s="26"/>
      <x:c r="AE582" s="26"/>
      <x:c r="AF582" s="26"/>
      <x:c r="AG582" s="26"/>
      <x:c r="AH582" s="26"/>
      <x:c r="AI582" s="26"/>
      <x:c r="AJ582" s="26"/>
      <x:c r="AK582" s="26"/>
      <x:c r="AL582" s="26"/>
      <x:c r="AM582" s="26"/>
    </x:row>
    <x:row r="583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  <x:c r="R583" s="26"/>
      <x:c r="S583" s="26"/>
      <x:c r="T583" s="26"/>
      <x:c r="U583" s="26"/>
      <x:c r="V583" s="26"/>
      <x:c r="W583" s="26"/>
      <x:c r="X583" s="26"/>
      <x:c r="Y583" s="26"/>
      <x:c r="Z583" s="26"/>
      <x:c r="AA583" s="26"/>
      <x:c r="AB583" s="26"/>
      <x:c r="AC583" s="26"/>
      <x:c r="AD583" s="26"/>
      <x:c r="AE583" s="26"/>
      <x:c r="AF583" s="26"/>
      <x:c r="AG583" s="26"/>
      <x:c r="AH583" s="26"/>
      <x:c r="AI583" s="26"/>
      <x:c r="AJ583" s="26"/>
      <x:c r="AK583" s="26"/>
      <x:c r="AL583" s="26"/>
      <x:c r="AM583" s="26"/>
    </x:row>
    <x:row r="584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  <x:c r="R584" s="26"/>
      <x:c r="S584" s="26"/>
      <x:c r="T584" s="26"/>
      <x:c r="U584" s="26"/>
      <x:c r="V584" s="26"/>
      <x:c r="W584" s="26"/>
      <x:c r="X584" s="26"/>
      <x:c r="Y584" s="26"/>
      <x:c r="Z584" s="26"/>
      <x:c r="AA584" s="26"/>
      <x:c r="AB584" s="26"/>
      <x:c r="AC584" s="26"/>
      <x:c r="AD584" s="26"/>
      <x:c r="AE584" s="26"/>
      <x:c r="AF584" s="26"/>
      <x:c r="AG584" s="26"/>
      <x:c r="AH584" s="26"/>
      <x:c r="AI584" s="26"/>
      <x:c r="AJ584" s="26"/>
      <x:c r="AK584" s="26"/>
      <x:c r="AL584" s="26"/>
      <x:c r="AM584" s="26"/>
    </x:row>
    <x:row r="585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  <x:c r="R585" s="26"/>
      <x:c r="S585" s="26"/>
      <x:c r="T585" s="26"/>
      <x:c r="U585" s="26"/>
      <x:c r="V585" s="26"/>
      <x:c r="W585" s="26"/>
      <x:c r="X585" s="26"/>
      <x:c r="Y585" s="26"/>
      <x:c r="Z585" s="26"/>
      <x:c r="AA585" s="26"/>
      <x:c r="AB585" s="26"/>
      <x:c r="AC585" s="26"/>
      <x:c r="AD585" s="26"/>
      <x:c r="AE585" s="26"/>
      <x:c r="AF585" s="26"/>
      <x:c r="AG585" s="26"/>
      <x:c r="AH585" s="26"/>
      <x:c r="AI585" s="26"/>
      <x:c r="AJ585" s="26"/>
      <x:c r="AK585" s="26"/>
      <x:c r="AL585" s="26"/>
      <x:c r="AM585" s="26"/>
    </x:row>
    <x:row r="586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  <x:c r="R586" s="26"/>
      <x:c r="S586" s="26"/>
      <x:c r="T586" s="26"/>
      <x:c r="U586" s="26"/>
      <x:c r="V586" s="26"/>
      <x:c r="W586" s="26"/>
      <x:c r="X586" s="26"/>
      <x:c r="Y586" s="26"/>
      <x:c r="Z586" s="26"/>
      <x:c r="AA586" s="26"/>
      <x:c r="AB586" s="26"/>
      <x:c r="AC586" s="26"/>
      <x:c r="AD586" s="26"/>
      <x:c r="AE586" s="26"/>
      <x:c r="AF586" s="26"/>
      <x:c r="AG586" s="26"/>
      <x:c r="AH586" s="26"/>
      <x:c r="AI586" s="26"/>
      <x:c r="AJ586" s="26"/>
      <x:c r="AK586" s="26"/>
      <x:c r="AL586" s="26"/>
      <x:c r="AM586" s="26"/>
    </x:row>
    <x:row r="587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  <x:c r="R587" s="26"/>
      <x:c r="S587" s="26"/>
      <x:c r="T587" s="26"/>
      <x:c r="U587" s="26"/>
      <x:c r="V587" s="26"/>
      <x:c r="W587" s="26"/>
      <x:c r="X587" s="26"/>
      <x:c r="Y587" s="26"/>
      <x:c r="Z587" s="26"/>
      <x:c r="AA587" s="26"/>
      <x:c r="AB587" s="26"/>
      <x:c r="AC587" s="26"/>
      <x:c r="AD587" s="26"/>
      <x:c r="AE587" s="26"/>
      <x:c r="AF587" s="26"/>
      <x:c r="AG587" s="26"/>
      <x:c r="AH587" s="26"/>
      <x:c r="AI587" s="26"/>
      <x:c r="AJ587" s="26"/>
      <x:c r="AK587" s="26"/>
      <x:c r="AL587" s="26"/>
      <x:c r="AM587" s="26"/>
    </x:row>
    <x:row r="588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  <x:c r="R588" s="26"/>
      <x:c r="S588" s="26"/>
      <x:c r="T588" s="26"/>
      <x:c r="U588" s="26"/>
      <x:c r="V588" s="26"/>
      <x:c r="W588" s="26"/>
      <x:c r="X588" s="26"/>
      <x:c r="Y588" s="26"/>
      <x:c r="Z588" s="26"/>
      <x:c r="AA588" s="26"/>
      <x:c r="AB588" s="26"/>
      <x:c r="AC588" s="26"/>
      <x:c r="AD588" s="26"/>
      <x:c r="AE588" s="26"/>
      <x:c r="AF588" s="26"/>
      <x:c r="AG588" s="26"/>
      <x:c r="AH588" s="26"/>
      <x:c r="AI588" s="26"/>
      <x:c r="AJ588" s="26"/>
      <x:c r="AK588" s="26"/>
      <x:c r="AL588" s="26"/>
      <x:c r="AM588" s="26"/>
    </x:row>
    <x:row r="589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  <x:c r="R589" s="26"/>
      <x:c r="S589" s="26"/>
      <x:c r="T589" s="26"/>
      <x:c r="U589" s="26"/>
      <x:c r="V589" s="26"/>
      <x:c r="W589" s="26"/>
      <x:c r="X589" s="26"/>
      <x:c r="Y589" s="26"/>
      <x:c r="Z589" s="26"/>
      <x:c r="AA589" s="26"/>
      <x:c r="AB589" s="26"/>
      <x:c r="AC589" s="26"/>
      <x:c r="AD589" s="26"/>
      <x:c r="AE589" s="26"/>
      <x:c r="AF589" s="26"/>
      <x:c r="AG589" s="26"/>
      <x:c r="AH589" s="26"/>
      <x:c r="AI589" s="26"/>
      <x:c r="AJ589" s="26"/>
      <x:c r="AK589" s="26"/>
      <x:c r="AL589" s="26"/>
      <x:c r="AM589" s="26"/>
    </x:row>
    <x:row r="590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  <x:c r="R590" s="26"/>
      <x:c r="S590" s="26"/>
      <x:c r="T590" s="26"/>
      <x:c r="U590" s="26"/>
      <x:c r="V590" s="26"/>
      <x:c r="W590" s="26"/>
      <x:c r="X590" s="26"/>
      <x:c r="Y590" s="26"/>
      <x:c r="Z590" s="26"/>
      <x:c r="AA590" s="26"/>
      <x:c r="AB590" s="26"/>
      <x:c r="AC590" s="26"/>
      <x:c r="AD590" s="26"/>
      <x:c r="AE590" s="26"/>
      <x:c r="AF590" s="26"/>
      <x:c r="AG590" s="26"/>
      <x:c r="AH590" s="26"/>
      <x:c r="AI590" s="26"/>
      <x:c r="AJ590" s="26"/>
      <x:c r="AK590" s="26"/>
      <x:c r="AL590" s="26"/>
      <x:c r="AM590" s="26"/>
    </x:row>
    <x:row r="59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  <x:c r="R591" s="26"/>
      <x:c r="S591" s="26"/>
      <x:c r="T591" s="26"/>
      <x:c r="U591" s="26"/>
      <x:c r="V591" s="26"/>
      <x:c r="W591" s="26"/>
      <x:c r="X591" s="26"/>
      <x:c r="Y591" s="26"/>
      <x:c r="Z591" s="26"/>
      <x:c r="AA591" s="26"/>
      <x:c r="AB591" s="26"/>
      <x:c r="AC591" s="26"/>
      <x:c r="AD591" s="26"/>
      <x:c r="AE591" s="26"/>
      <x:c r="AF591" s="26"/>
      <x:c r="AG591" s="26"/>
      <x:c r="AH591" s="26"/>
      <x:c r="AI591" s="26"/>
      <x:c r="AJ591" s="26"/>
      <x:c r="AK591" s="26"/>
      <x:c r="AL591" s="26"/>
      <x:c r="AM591" s="26"/>
    </x:row>
    <x:row r="592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  <x:c r="R592" s="26"/>
      <x:c r="S592" s="26"/>
      <x:c r="T592" s="26"/>
      <x:c r="U592" s="26"/>
      <x:c r="V592" s="26"/>
      <x:c r="W592" s="26"/>
      <x:c r="X592" s="26"/>
      <x:c r="Y592" s="26"/>
      <x:c r="Z592" s="26"/>
      <x:c r="AA592" s="26"/>
      <x:c r="AB592" s="26"/>
      <x:c r="AC592" s="26"/>
      <x:c r="AD592" s="26"/>
      <x:c r="AE592" s="26"/>
      <x:c r="AF592" s="26"/>
      <x:c r="AG592" s="26"/>
      <x:c r="AH592" s="26"/>
      <x:c r="AI592" s="26"/>
      <x:c r="AJ592" s="26"/>
      <x:c r="AK592" s="26"/>
      <x:c r="AL592" s="26"/>
      <x:c r="AM592" s="26"/>
    </x:row>
    <x:row r="593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  <x:c r="R593" s="26"/>
      <x:c r="S593" s="26"/>
      <x:c r="T593" s="26"/>
      <x:c r="U593" s="26"/>
      <x:c r="V593" s="26"/>
      <x:c r="W593" s="26"/>
      <x:c r="X593" s="26"/>
      <x:c r="Y593" s="26"/>
      <x:c r="Z593" s="26"/>
      <x:c r="AA593" s="26"/>
      <x:c r="AB593" s="26"/>
      <x:c r="AC593" s="26"/>
      <x:c r="AD593" s="26"/>
      <x:c r="AE593" s="26"/>
      <x:c r="AF593" s="26"/>
      <x:c r="AG593" s="26"/>
      <x:c r="AH593" s="26"/>
      <x:c r="AI593" s="26"/>
      <x:c r="AJ593" s="26"/>
      <x:c r="AK593" s="26"/>
      <x:c r="AL593" s="26"/>
      <x:c r="AM593" s="26"/>
    </x:row>
    <x:row r="594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  <x:c r="R594" s="26"/>
      <x:c r="S594" s="26"/>
      <x:c r="T594" s="26"/>
      <x:c r="U594" s="26"/>
      <x:c r="V594" s="26"/>
      <x:c r="W594" s="26"/>
      <x:c r="X594" s="26"/>
      <x:c r="Y594" s="26"/>
      <x:c r="Z594" s="26"/>
      <x:c r="AA594" s="26"/>
      <x:c r="AB594" s="26"/>
      <x:c r="AC594" s="26"/>
      <x:c r="AD594" s="26"/>
      <x:c r="AE594" s="26"/>
      <x:c r="AF594" s="26"/>
      <x:c r="AG594" s="26"/>
      <x:c r="AH594" s="26"/>
      <x:c r="AI594" s="26"/>
      <x:c r="AJ594" s="26"/>
      <x:c r="AK594" s="26"/>
      <x:c r="AL594" s="26"/>
      <x:c r="AM594" s="26"/>
    </x:row>
    <x:row r="595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  <x:c r="R595" s="26"/>
      <x:c r="S595" s="26"/>
      <x:c r="T595" s="26"/>
      <x:c r="U595" s="26"/>
      <x:c r="V595" s="26"/>
      <x:c r="W595" s="26"/>
      <x:c r="X595" s="26"/>
      <x:c r="Y595" s="26"/>
      <x:c r="Z595" s="26"/>
      <x:c r="AA595" s="26"/>
      <x:c r="AB595" s="26"/>
      <x:c r="AC595" s="26"/>
      <x:c r="AD595" s="26"/>
      <x:c r="AE595" s="26"/>
      <x:c r="AF595" s="26"/>
      <x:c r="AG595" s="26"/>
      <x:c r="AH595" s="26"/>
      <x:c r="AI595" s="26"/>
      <x:c r="AJ595" s="26"/>
      <x:c r="AK595" s="26"/>
      <x:c r="AL595" s="26"/>
      <x:c r="AM595" s="26"/>
    </x:row>
    <x:row r="596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  <x:c r="R596" s="26"/>
      <x:c r="S596" s="26"/>
      <x:c r="T596" s="26"/>
      <x:c r="U596" s="26"/>
      <x:c r="V596" s="26"/>
      <x:c r="W596" s="26"/>
      <x:c r="X596" s="26"/>
      <x:c r="Y596" s="26"/>
      <x:c r="Z596" s="26"/>
      <x:c r="AA596" s="26"/>
      <x:c r="AB596" s="26"/>
      <x:c r="AC596" s="26"/>
      <x:c r="AD596" s="26"/>
      <x:c r="AE596" s="26"/>
      <x:c r="AF596" s="26"/>
      <x:c r="AG596" s="26"/>
      <x:c r="AH596" s="26"/>
      <x:c r="AI596" s="26"/>
      <x:c r="AJ596" s="26"/>
      <x:c r="AK596" s="26"/>
      <x:c r="AL596" s="26"/>
      <x:c r="AM596" s="26"/>
    </x:row>
    <x:row r="597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  <x:c r="R597" s="26"/>
      <x:c r="S597" s="26"/>
      <x:c r="T597" s="26"/>
      <x:c r="U597" s="26"/>
      <x:c r="V597" s="26"/>
      <x:c r="W597" s="26"/>
      <x:c r="X597" s="26"/>
      <x:c r="Y597" s="26"/>
      <x:c r="Z597" s="26"/>
      <x:c r="AA597" s="26"/>
      <x:c r="AB597" s="26"/>
      <x:c r="AC597" s="26"/>
      <x:c r="AD597" s="26"/>
      <x:c r="AE597" s="26"/>
      <x:c r="AF597" s="26"/>
      <x:c r="AG597" s="26"/>
      <x:c r="AH597" s="26"/>
      <x:c r="AI597" s="26"/>
      <x:c r="AJ597" s="26"/>
      <x:c r="AK597" s="26"/>
      <x:c r="AL597" s="26"/>
      <x:c r="AM597" s="26"/>
    </x:row>
    <x:row r="598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  <x:c r="R598" s="26"/>
      <x:c r="S598" s="26"/>
      <x:c r="T598" s="26"/>
      <x:c r="U598" s="26"/>
      <x:c r="V598" s="26"/>
      <x:c r="W598" s="26"/>
      <x:c r="X598" s="26"/>
      <x:c r="Y598" s="26"/>
      <x:c r="Z598" s="26"/>
      <x:c r="AA598" s="26"/>
      <x:c r="AB598" s="26"/>
      <x:c r="AC598" s="26"/>
      <x:c r="AD598" s="26"/>
      <x:c r="AE598" s="26"/>
      <x:c r="AF598" s="26"/>
      <x:c r="AG598" s="26"/>
      <x:c r="AH598" s="26"/>
      <x:c r="AI598" s="26"/>
      <x:c r="AJ598" s="26"/>
      <x:c r="AK598" s="26"/>
      <x:c r="AL598" s="26"/>
      <x:c r="AM598" s="26"/>
    </x:row>
    <x:row r="599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  <x:c r="R599" s="26"/>
      <x:c r="S599" s="26"/>
      <x:c r="T599" s="26"/>
      <x:c r="U599" s="26"/>
      <x:c r="V599" s="26"/>
      <x:c r="W599" s="26"/>
      <x:c r="X599" s="26"/>
      <x:c r="Y599" s="26"/>
      <x:c r="Z599" s="26"/>
      <x:c r="AA599" s="26"/>
      <x:c r="AB599" s="26"/>
      <x:c r="AC599" s="26"/>
      <x:c r="AD599" s="26"/>
      <x:c r="AE599" s="26"/>
      <x:c r="AF599" s="26"/>
      <x:c r="AG599" s="26"/>
      <x:c r="AH599" s="26"/>
      <x:c r="AI599" s="26"/>
      <x:c r="AJ599" s="26"/>
      <x:c r="AK599" s="26"/>
      <x:c r="AL599" s="26"/>
      <x:c r="AM599" s="26"/>
    </x:row>
    <x:row r="600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  <x:c r="R600" s="26"/>
      <x:c r="S600" s="26"/>
      <x:c r="T600" s="26"/>
      <x:c r="U600" s="26"/>
      <x:c r="V600" s="26"/>
      <x:c r="W600" s="26"/>
      <x:c r="X600" s="26"/>
      <x:c r="Y600" s="26"/>
      <x:c r="Z600" s="26"/>
      <x:c r="AA600" s="26"/>
      <x:c r="AB600" s="26"/>
      <x:c r="AC600" s="26"/>
      <x:c r="AD600" s="26"/>
      <x:c r="AE600" s="26"/>
      <x:c r="AF600" s="26"/>
      <x:c r="AG600" s="26"/>
      <x:c r="AH600" s="26"/>
      <x:c r="AI600" s="26"/>
      <x:c r="AJ600" s="26"/>
      <x:c r="AK600" s="26"/>
      <x:c r="AL600" s="26"/>
      <x:c r="AM600" s="26"/>
    </x:row>
    <x:row r="60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  <x:c r="R601" s="26"/>
      <x:c r="S601" s="26"/>
      <x:c r="T601" s="26"/>
      <x:c r="U601" s="26"/>
      <x:c r="V601" s="26"/>
      <x:c r="W601" s="26"/>
      <x:c r="X601" s="26"/>
      <x:c r="Y601" s="26"/>
      <x:c r="Z601" s="26"/>
      <x:c r="AA601" s="26"/>
      <x:c r="AB601" s="26"/>
      <x:c r="AC601" s="26"/>
      <x:c r="AD601" s="26"/>
      <x:c r="AE601" s="26"/>
      <x:c r="AF601" s="26"/>
      <x:c r="AG601" s="26"/>
      <x:c r="AH601" s="26"/>
      <x:c r="AI601" s="26"/>
      <x:c r="AJ601" s="26"/>
      <x:c r="AK601" s="26"/>
      <x:c r="AL601" s="26"/>
      <x:c r="AM601" s="26"/>
    </x:row>
    <x:row r="602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  <x:c r="R602" s="26"/>
      <x:c r="S602" s="26"/>
      <x:c r="T602" s="26"/>
      <x:c r="U602" s="26"/>
      <x:c r="V602" s="26"/>
      <x:c r="W602" s="26"/>
      <x:c r="X602" s="26"/>
      <x:c r="Y602" s="26"/>
      <x:c r="Z602" s="26"/>
      <x:c r="AA602" s="26"/>
      <x:c r="AB602" s="26"/>
      <x:c r="AC602" s="26"/>
      <x:c r="AD602" s="26"/>
      <x:c r="AE602" s="26"/>
      <x:c r="AF602" s="26"/>
      <x:c r="AG602" s="26"/>
      <x:c r="AH602" s="26"/>
      <x:c r="AI602" s="26"/>
      <x:c r="AJ602" s="26"/>
      <x:c r="AK602" s="26"/>
      <x:c r="AL602" s="26"/>
      <x:c r="AM602" s="26"/>
    </x:row>
    <x:row r="603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  <x:c r="R603" s="26"/>
      <x:c r="S603" s="26"/>
      <x:c r="T603" s="26"/>
      <x:c r="U603" s="26"/>
      <x:c r="V603" s="26"/>
      <x:c r="W603" s="26"/>
      <x:c r="X603" s="26"/>
      <x:c r="Y603" s="26"/>
      <x:c r="Z603" s="26"/>
      <x:c r="AA603" s="26"/>
      <x:c r="AB603" s="26"/>
      <x:c r="AC603" s="26"/>
      <x:c r="AD603" s="26"/>
      <x:c r="AE603" s="26"/>
      <x:c r="AF603" s="26"/>
      <x:c r="AG603" s="26"/>
      <x:c r="AH603" s="26"/>
      <x:c r="AI603" s="26"/>
      <x:c r="AJ603" s="26"/>
      <x:c r="AK603" s="26"/>
      <x:c r="AL603" s="26"/>
      <x:c r="AM603" s="26"/>
    </x:row>
    <x:row r="604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  <x:c r="R604" s="26"/>
      <x:c r="S604" s="26"/>
      <x:c r="T604" s="26"/>
      <x:c r="U604" s="26"/>
      <x:c r="V604" s="26"/>
      <x:c r="W604" s="26"/>
      <x:c r="X604" s="26"/>
      <x:c r="Y604" s="26"/>
      <x:c r="Z604" s="26"/>
      <x:c r="AA604" s="26"/>
      <x:c r="AB604" s="26"/>
      <x:c r="AC604" s="26"/>
      <x:c r="AD604" s="26"/>
      <x:c r="AE604" s="26"/>
      <x:c r="AF604" s="26"/>
      <x:c r="AG604" s="26"/>
      <x:c r="AH604" s="26"/>
      <x:c r="AI604" s="26"/>
      <x:c r="AJ604" s="26"/>
      <x:c r="AK604" s="26"/>
      <x:c r="AL604" s="26"/>
      <x:c r="AM604" s="26"/>
    </x:row>
    <x:row r="605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  <x:c r="R605" s="26"/>
      <x:c r="S605" s="26"/>
      <x:c r="T605" s="26"/>
      <x:c r="U605" s="26"/>
      <x:c r="V605" s="26"/>
      <x:c r="W605" s="26"/>
      <x:c r="X605" s="26"/>
      <x:c r="Y605" s="26"/>
      <x:c r="Z605" s="26"/>
      <x:c r="AA605" s="26"/>
      <x:c r="AB605" s="26"/>
      <x:c r="AC605" s="26"/>
      <x:c r="AD605" s="26"/>
      <x:c r="AE605" s="26"/>
      <x:c r="AF605" s="26"/>
      <x:c r="AG605" s="26"/>
      <x:c r="AH605" s="26"/>
      <x:c r="AI605" s="26"/>
      <x:c r="AJ605" s="26"/>
      <x:c r="AK605" s="26"/>
      <x:c r="AL605" s="26"/>
      <x:c r="AM605" s="26"/>
    </x:row>
    <x:row r="606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  <x:c r="R606" s="26"/>
      <x:c r="S606" s="26"/>
      <x:c r="T606" s="26"/>
      <x:c r="U606" s="26"/>
      <x:c r="V606" s="26"/>
      <x:c r="W606" s="26"/>
      <x:c r="X606" s="26"/>
      <x:c r="Y606" s="26"/>
      <x:c r="Z606" s="26"/>
      <x:c r="AA606" s="26"/>
      <x:c r="AB606" s="26"/>
      <x:c r="AC606" s="26"/>
      <x:c r="AD606" s="26"/>
      <x:c r="AE606" s="26"/>
      <x:c r="AF606" s="26"/>
      <x:c r="AG606" s="26"/>
      <x:c r="AH606" s="26"/>
      <x:c r="AI606" s="26"/>
      <x:c r="AJ606" s="26"/>
      <x:c r="AK606" s="26"/>
      <x:c r="AL606" s="26"/>
      <x:c r="AM606" s="26"/>
    </x:row>
    <x:row r="607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  <x:c r="R607" s="26"/>
      <x:c r="S607" s="26"/>
      <x:c r="T607" s="26"/>
      <x:c r="U607" s="26"/>
      <x:c r="V607" s="26"/>
      <x:c r="W607" s="26"/>
      <x:c r="X607" s="26"/>
      <x:c r="Y607" s="26"/>
      <x:c r="Z607" s="26"/>
      <x:c r="AA607" s="26"/>
      <x:c r="AB607" s="26"/>
      <x:c r="AC607" s="26"/>
      <x:c r="AD607" s="26"/>
      <x:c r="AE607" s="26"/>
      <x:c r="AF607" s="26"/>
      <x:c r="AG607" s="26"/>
      <x:c r="AH607" s="26"/>
      <x:c r="AI607" s="26"/>
      <x:c r="AJ607" s="26"/>
      <x:c r="AK607" s="26"/>
      <x:c r="AL607" s="26"/>
      <x:c r="AM607" s="26"/>
    </x:row>
    <x:row r="608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  <x:c r="R608" s="26"/>
      <x:c r="S608" s="26"/>
      <x:c r="T608" s="26"/>
      <x:c r="U608" s="26"/>
      <x:c r="V608" s="26"/>
      <x:c r="W608" s="26"/>
      <x:c r="X608" s="26"/>
      <x:c r="Y608" s="26"/>
      <x:c r="Z608" s="26"/>
      <x:c r="AA608" s="26"/>
      <x:c r="AB608" s="26"/>
      <x:c r="AC608" s="26"/>
      <x:c r="AD608" s="26"/>
      <x:c r="AE608" s="26"/>
      <x:c r="AF608" s="26"/>
      <x:c r="AG608" s="26"/>
      <x:c r="AH608" s="26"/>
      <x:c r="AI608" s="26"/>
      <x:c r="AJ608" s="26"/>
      <x:c r="AK608" s="26"/>
      <x:c r="AL608" s="26"/>
      <x:c r="AM608" s="26"/>
    </x:row>
    <x:row r="609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  <x:c r="R609" s="26"/>
      <x:c r="S609" s="26"/>
      <x:c r="T609" s="26"/>
      <x:c r="U609" s="26"/>
      <x:c r="V609" s="26"/>
      <x:c r="W609" s="26"/>
      <x:c r="X609" s="26"/>
      <x:c r="Y609" s="26"/>
      <x:c r="Z609" s="26"/>
      <x:c r="AA609" s="26"/>
      <x:c r="AB609" s="26"/>
      <x:c r="AC609" s="26"/>
      <x:c r="AD609" s="26"/>
      <x:c r="AE609" s="26"/>
      <x:c r="AF609" s="26"/>
      <x:c r="AG609" s="26"/>
      <x:c r="AH609" s="26"/>
      <x:c r="AI609" s="26"/>
      <x:c r="AJ609" s="26"/>
      <x:c r="AK609" s="26"/>
      <x:c r="AL609" s="26"/>
      <x:c r="AM609" s="26"/>
    </x:row>
    <x:row r="610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  <x:c r="R610" s="26"/>
      <x:c r="S610" s="26"/>
      <x:c r="T610" s="26"/>
      <x:c r="U610" s="26"/>
      <x:c r="V610" s="26"/>
      <x:c r="W610" s="26"/>
      <x:c r="X610" s="26"/>
      <x:c r="Y610" s="26"/>
      <x:c r="Z610" s="26"/>
      <x:c r="AA610" s="26"/>
      <x:c r="AB610" s="26"/>
      <x:c r="AC610" s="26"/>
      <x:c r="AD610" s="26"/>
      <x:c r="AE610" s="26"/>
      <x:c r="AF610" s="26"/>
      <x:c r="AG610" s="26"/>
      <x:c r="AH610" s="26"/>
      <x:c r="AI610" s="26"/>
      <x:c r="AJ610" s="26"/>
      <x:c r="AK610" s="26"/>
      <x:c r="AL610" s="26"/>
      <x:c r="AM610" s="26"/>
    </x:row>
    <x:row r="61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  <x:c r="R611" s="26"/>
      <x:c r="S611" s="26"/>
      <x:c r="T611" s="26"/>
      <x:c r="U611" s="26"/>
      <x:c r="V611" s="26"/>
      <x:c r="W611" s="26"/>
      <x:c r="X611" s="26"/>
      <x:c r="Y611" s="26"/>
      <x:c r="Z611" s="26"/>
      <x:c r="AA611" s="26"/>
      <x:c r="AB611" s="26"/>
      <x:c r="AC611" s="26"/>
      <x:c r="AD611" s="26"/>
      <x:c r="AE611" s="26"/>
      <x:c r="AF611" s="26"/>
      <x:c r="AG611" s="26"/>
      <x:c r="AH611" s="26"/>
      <x:c r="AI611" s="26"/>
      <x:c r="AJ611" s="26"/>
      <x:c r="AK611" s="26"/>
      <x:c r="AL611" s="26"/>
      <x:c r="AM611" s="26"/>
    </x:row>
    <x:row r="612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  <x:c r="R612" s="26"/>
      <x:c r="S612" s="26"/>
      <x:c r="T612" s="26"/>
      <x:c r="U612" s="26"/>
      <x:c r="V612" s="26"/>
      <x:c r="W612" s="26"/>
      <x:c r="X612" s="26"/>
      <x:c r="Y612" s="26"/>
      <x:c r="Z612" s="26"/>
      <x:c r="AA612" s="26"/>
      <x:c r="AB612" s="26"/>
      <x:c r="AC612" s="26"/>
      <x:c r="AD612" s="26"/>
      <x:c r="AE612" s="26"/>
      <x:c r="AF612" s="26"/>
      <x:c r="AG612" s="26"/>
      <x:c r="AH612" s="26"/>
      <x:c r="AI612" s="26"/>
      <x:c r="AJ612" s="26"/>
      <x:c r="AK612" s="26"/>
      <x:c r="AL612" s="26"/>
      <x:c r="AM612" s="26"/>
    </x:row>
    <x:row r="613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  <x:c r="R613" s="26"/>
      <x:c r="S613" s="26"/>
      <x:c r="T613" s="26"/>
      <x:c r="U613" s="26"/>
      <x:c r="V613" s="26"/>
      <x:c r="W613" s="26"/>
      <x:c r="X613" s="26"/>
      <x:c r="Y613" s="26"/>
      <x:c r="Z613" s="26"/>
      <x:c r="AA613" s="26"/>
      <x:c r="AB613" s="26"/>
      <x:c r="AC613" s="26"/>
      <x:c r="AD613" s="26"/>
      <x:c r="AE613" s="26"/>
      <x:c r="AF613" s="26"/>
      <x:c r="AG613" s="26"/>
      <x:c r="AH613" s="26"/>
      <x:c r="AI613" s="26"/>
      <x:c r="AJ613" s="26"/>
      <x:c r="AK613" s="26"/>
      <x:c r="AL613" s="26"/>
      <x:c r="AM613" s="26"/>
    </x:row>
    <x:row r="614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  <x:c r="R614" s="26"/>
      <x:c r="S614" s="26"/>
      <x:c r="T614" s="26"/>
      <x:c r="U614" s="26"/>
      <x:c r="V614" s="26"/>
      <x:c r="W614" s="26"/>
      <x:c r="X614" s="26"/>
      <x:c r="Y614" s="26"/>
      <x:c r="Z614" s="26"/>
      <x:c r="AA614" s="26"/>
      <x:c r="AB614" s="26"/>
      <x:c r="AC614" s="26"/>
      <x:c r="AD614" s="26"/>
      <x:c r="AE614" s="26"/>
      <x:c r="AF614" s="26"/>
      <x:c r="AG614" s="26"/>
      <x:c r="AH614" s="26"/>
      <x:c r="AI614" s="26"/>
      <x:c r="AJ614" s="26"/>
      <x:c r="AK614" s="26"/>
      <x:c r="AL614" s="26"/>
      <x:c r="AM614" s="26"/>
    </x:row>
    <x:row r="615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  <x:c r="R615" s="26"/>
      <x:c r="S615" s="26"/>
      <x:c r="T615" s="26"/>
      <x:c r="U615" s="26"/>
      <x:c r="V615" s="26"/>
      <x:c r="W615" s="26"/>
      <x:c r="X615" s="26"/>
      <x:c r="Y615" s="26"/>
      <x:c r="Z615" s="26"/>
      <x:c r="AA615" s="26"/>
      <x:c r="AB615" s="26"/>
      <x:c r="AC615" s="26"/>
      <x:c r="AD615" s="26"/>
      <x:c r="AE615" s="26"/>
      <x:c r="AF615" s="26"/>
      <x:c r="AG615" s="26"/>
      <x:c r="AH615" s="26"/>
      <x:c r="AI615" s="26"/>
      <x:c r="AJ615" s="26"/>
      <x:c r="AK615" s="26"/>
      <x:c r="AL615" s="26"/>
      <x:c r="AM615" s="26"/>
    </x:row>
    <x:row r="616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  <x:c r="R616" s="26"/>
      <x:c r="S616" s="26"/>
      <x:c r="T616" s="26"/>
      <x:c r="U616" s="26"/>
      <x:c r="V616" s="26"/>
      <x:c r="W616" s="26"/>
      <x:c r="X616" s="26"/>
      <x:c r="Y616" s="26"/>
      <x:c r="Z616" s="26"/>
      <x:c r="AA616" s="26"/>
      <x:c r="AB616" s="26"/>
      <x:c r="AC616" s="26"/>
      <x:c r="AD616" s="26"/>
      <x:c r="AE616" s="26"/>
      <x:c r="AF616" s="26"/>
      <x:c r="AG616" s="26"/>
      <x:c r="AH616" s="26"/>
      <x:c r="AI616" s="26"/>
      <x:c r="AJ616" s="26"/>
      <x:c r="AK616" s="26"/>
      <x:c r="AL616" s="26"/>
      <x:c r="AM616" s="26"/>
    </x:row>
    <x:row r="617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  <x:c r="R617" s="26"/>
      <x:c r="S617" s="26"/>
      <x:c r="T617" s="26"/>
      <x:c r="U617" s="26"/>
      <x:c r="V617" s="26"/>
      <x:c r="W617" s="26"/>
      <x:c r="X617" s="26"/>
      <x:c r="Y617" s="26"/>
      <x:c r="Z617" s="26"/>
      <x:c r="AA617" s="26"/>
      <x:c r="AB617" s="26"/>
      <x:c r="AC617" s="26"/>
      <x:c r="AD617" s="26"/>
      <x:c r="AE617" s="26"/>
      <x:c r="AF617" s="26"/>
      <x:c r="AG617" s="26"/>
      <x:c r="AH617" s="26"/>
      <x:c r="AI617" s="26"/>
      <x:c r="AJ617" s="26"/>
      <x:c r="AK617" s="26"/>
      <x:c r="AL617" s="26"/>
      <x:c r="AM617" s="26"/>
    </x:row>
    <x:row r="618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  <x:c r="R618" s="26"/>
      <x:c r="S618" s="26"/>
      <x:c r="T618" s="26"/>
      <x:c r="U618" s="26"/>
      <x:c r="V618" s="26"/>
      <x:c r="W618" s="26"/>
      <x:c r="X618" s="26"/>
      <x:c r="Y618" s="26"/>
      <x:c r="Z618" s="26"/>
      <x:c r="AA618" s="26"/>
      <x:c r="AB618" s="26"/>
      <x:c r="AC618" s="26"/>
      <x:c r="AD618" s="26"/>
      <x:c r="AE618" s="26"/>
      <x:c r="AF618" s="26"/>
      <x:c r="AG618" s="26"/>
      <x:c r="AH618" s="26"/>
      <x:c r="AI618" s="26"/>
      <x:c r="AJ618" s="26"/>
      <x:c r="AK618" s="26"/>
      <x:c r="AL618" s="26"/>
      <x:c r="AM618" s="26"/>
    </x:row>
    <x:row r="619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  <x:c r="R619" s="26"/>
      <x:c r="S619" s="26"/>
      <x:c r="T619" s="26"/>
      <x:c r="U619" s="26"/>
      <x:c r="V619" s="26"/>
      <x:c r="W619" s="26"/>
      <x:c r="X619" s="26"/>
      <x:c r="Y619" s="26"/>
      <x:c r="Z619" s="26"/>
      <x:c r="AA619" s="26"/>
      <x:c r="AB619" s="26"/>
      <x:c r="AC619" s="26"/>
      <x:c r="AD619" s="26"/>
      <x:c r="AE619" s="26"/>
      <x:c r="AF619" s="26"/>
      <x:c r="AG619" s="26"/>
      <x:c r="AH619" s="26"/>
      <x:c r="AI619" s="26"/>
      <x:c r="AJ619" s="26"/>
      <x:c r="AK619" s="26"/>
      <x:c r="AL619" s="26"/>
      <x:c r="AM619" s="26"/>
    </x:row>
    <x:row r="620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  <x:c r="R620" s="26"/>
      <x:c r="S620" s="26"/>
      <x:c r="T620" s="26"/>
      <x:c r="U620" s="26"/>
      <x:c r="V620" s="26"/>
      <x:c r="W620" s="26"/>
      <x:c r="X620" s="26"/>
      <x:c r="Y620" s="26"/>
      <x:c r="Z620" s="26"/>
      <x:c r="AA620" s="26"/>
      <x:c r="AB620" s="26"/>
      <x:c r="AC620" s="26"/>
      <x:c r="AD620" s="26"/>
      <x:c r="AE620" s="26"/>
      <x:c r="AF620" s="26"/>
      <x:c r="AG620" s="26"/>
      <x:c r="AH620" s="26"/>
      <x:c r="AI620" s="26"/>
      <x:c r="AJ620" s="26"/>
      <x:c r="AK620" s="26"/>
      <x:c r="AL620" s="26"/>
      <x:c r="AM620" s="26"/>
    </x:row>
    <x:row r="62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  <x:c r="R621" s="26"/>
      <x:c r="S621" s="26"/>
      <x:c r="T621" s="26"/>
      <x:c r="U621" s="26"/>
      <x:c r="V621" s="26"/>
      <x:c r="W621" s="26"/>
      <x:c r="X621" s="26"/>
      <x:c r="Y621" s="26"/>
      <x:c r="Z621" s="26"/>
      <x:c r="AA621" s="26"/>
      <x:c r="AB621" s="26"/>
      <x:c r="AC621" s="26"/>
      <x:c r="AD621" s="26"/>
      <x:c r="AE621" s="26"/>
      <x:c r="AF621" s="26"/>
      <x:c r="AG621" s="26"/>
      <x:c r="AH621" s="26"/>
      <x:c r="AI621" s="26"/>
      <x:c r="AJ621" s="26"/>
      <x:c r="AK621" s="26"/>
      <x:c r="AL621" s="26"/>
      <x:c r="AM621" s="26"/>
    </x:row>
    <x:row r="622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  <x:c r="R622" s="26"/>
      <x:c r="S622" s="26"/>
      <x:c r="T622" s="26"/>
      <x:c r="U622" s="26"/>
      <x:c r="V622" s="26"/>
      <x:c r="W622" s="26"/>
      <x:c r="X622" s="26"/>
      <x:c r="Y622" s="26"/>
      <x:c r="Z622" s="26"/>
      <x:c r="AA622" s="26"/>
      <x:c r="AB622" s="26"/>
      <x:c r="AC622" s="26"/>
      <x:c r="AD622" s="26"/>
      <x:c r="AE622" s="26"/>
      <x:c r="AF622" s="26"/>
      <x:c r="AG622" s="26"/>
      <x:c r="AH622" s="26"/>
      <x:c r="AI622" s="26"/>
      <x:c r="AJ622" s="26"/>
      <x:c r="AK622" s="26"/>
      <x:c r="AL622" s="26"/>
      <x:c r="AM622" s="26"/>
    </x:row>
    <x:row r="623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  <x:c r="R623" s="26"/>
      <x:c r="S623" s="26"/>
      <x:c r="T623" s="26"/>
      <x:c r="U623" s="26"/>
      <x:c r="V623" s="26"/>
      <x:c r="W623" s="26"/>
      <x:c r="X623" s="26"/>
      <x:c r="Y623" s="26"/>
      <x:c r="Z623" s="26"/>
      <x:c r="AA623" s="26"/>
      <x:c r="AB623" s="26"/>
      <x:c r="AC623" s="26"/>
      <x:c r="AD623" s="26"/>
      <x:c r="AE623" s="26"/>
      <x:c r="AF623" s="26"/>
      <x:c r="AG623" s="26"/>
      <x:c r="AH623" s="26"/>
      <x:c r="AI623" s="26"/>
      <x:c r="AJ623" s="26"/>
      <x:c r="AK623" s="26"/>
      <x:c r="AL623" s="26"/>
      <x:c r="AM623" s="26"/>
    </x:row>
    <x:row r="624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  <x:c r="R624" s="26"/>
      <x:c r="S624" s="26"/>
      <x:c r="T624" s="26"/>
      <x:c r="U624" s="26"/>
      <x:c r="V624" s="26"/>
      <x:c r="W624" s="26"/>
      <x:c r="X624" s="26"/>
      <x:c r="Y624" s="26"/>
      <x:c r="Z624" s="26"/>
      <x:c r="AA624" s="26"/>
      <x:c r="AB624" s="26"/>
      <x:c r="AC624" s="26"/>
      <x:c r="AD624" s="26"/>
      <x:c r="AE624" s="26"/>
      <x:c r="AF624" s="26"/>
      <x:c r="AG624" s="26"/>
      <x:c r="AH624" s="26"/>
      <x:c r="AI624" s="26"/>
      <x:c r="AJ624" s="26"/>
      <x:c r="AK624" s="26"/>
      <x:c r="AL624" s="26"/>
      <x:c r="AM624" s="26"/>
    </x:row>
    <x:row r="625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  <x:c r="R625" s="26"/>
      <x:c r="S625" s="26"/>
      <x:c r="T625" s="26"/>
      <x:c r="U625" s="26"/>
      <x:c r="V625" s="26"/>
      <x:c r="W625" s="26"/>
      <x:c r="X625" s="26"/>
      <x:c r="Y625" s="26"/>
      <x:c r="Z625" s="26"/>
      <x:c r="AA625" s="26"/>
      <x:c r="AB625" s="26"/>
      <x:c r="AC625" s="26"/>
      <x:c r="AD625" s="26"/>
      <x:c r="AE625" s="26"/>
      <x:c r="AF625" s="26"/>
      <x:c r="AG625" s="26"/>
      <x:c r="AH625" s="26"/>
      <x:c r="AI625" s="26"/>
      <x:c r="AJ625" s="26"/>
      <x:c r="AK625" s="26"/>
      <x:c r="AL625" s="26"/>
      <x:c r="AM625" s="26"/>
    </x:row>
    <x:row r="626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  <x:c r="R626" s="26"/>
      <x:c r="S626" s="26"/>
      <x:c r="T626" s="26"/>
      <x:c r="U626" s="26"/>
      <x:c r="V626" s="26"/>
      <x:c r="W626" s="26"/>
      <x:c r="X626" s="26"/>
      <x:c r="Y626" s="26"/>
      <x:c r="Z626" s="26"/>
      <x:c r="AA626" s="26"/>
      <x:c r="AB626" s="26"/>
      <x:c r="AC626" s="26"/>
      <x:c r="AD626" s="26"/>
      <x:c r="AE626" s="26"/>
      <x:c r="AF626" s="26"/>
      <x:c r="AG626" s="26"/>
      <x:c r="AH626" s="26"/>
      <x:c r="AI626" s="26"/>
      <x:c r="AJ626" s="26"/>
      <x:c r="AK626" s="26"/>
      <x:c r="AL626" s="26"/>
      <x:c r="AM626" s="26"/>
    </x:row>
    <x:row r="627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  <x:c r="R627" s="26"/>
      <x:c r="S627" s="26"/>
      <x:c r="T627" s="26"/>
      <x:c r="U627" s="26"/>
      <x:c r="V627" s="26"/>
      <x:c r="W627" s="26"/>
      <x:c r="X627" s="26"/>
      <x:c r="Y627" s="26"/>
      <x:c r="Z627" s="26"/>
      <x:c r="AA627" s="26"/>
      <x:c r="AB627" s="26"/>
      <x:c r="AC627" s="26"/>
      <x:c r="AD627" s="26"/>
      <x:c r="AE627" s="26"/>
      <x:c r="AF627" s="26"/>
      <x:c r="AG627" s="26"/>
      <x:c r="AH627" s="26"/>
      <x:c r="AI627" s="26"/>
      <x:c r="AJ627" s="26"/>
      <x:c r="AK627" s="26"/>
      <x:c r="AL627" s="26"/>
      <x:c r="AM627" s="26"/>
    </x:row>
    <x:row r="628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  <x:c r="R628" s="26"/>
      <x:c r="S628" s="26"/>
      <x:c r="T628" s="26"/>
      <x:c r="U628" s="26"/>
      <x:c r="V628" s="26"/>
      <x:c r="W628" s="26"/>
      <x:c r="X628" s="26"/>
      <x:c r="Y628" s="26"/>
      <x:c r="Z628" s="26"/>
      <x:c r="AA628" s="26"/>
      <x:c r="AB628" s="26"/>
      <x:c r="AC628" s="26"/>
      <x:c r="AD628" s="26"/>
      <x:c r="AE628" s="26"/>
      <x:c r="AF628" s="26"/>
      <x:c r="AG628" s="26"/>
      <x:c r="AH628" s="26"/>
      <x:c r="AI628" s="26"/>
      <x:c r="AJ628" s="26"/>
      <x:c r="AK628" s="26"/>
      <x:c r="AL628" s="26"/>
      <x:c r="AM628" s="26"/>
    </x:row>
    <x:row r="629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  <x:c r="R629" s="26"/>
      <x:c r="S629" s="26"/>
      <x:c r="T629" s="26"/>
      <x:c r="U629" s="26"/>
      <x:c r="V629" s="26"/>
      <x:c r="W629" s="26"/>
      <x:c r="X629" s="26"/>
      <x:c r="Y629" s="26"/>
      <x:c r="Z629" s="26"/>
      <x:c r="AA629" s="26"/>
      <x:c r="AB629" s="26"/>
      <x:c r="AC629" s="26"/>
      <x:c r="AD629" s="26"/>
      <x:c r="AE629" s="26"/>
      <x:c r="AF629" s="26"/>
      <x:c r="AG629" s="26"/>
      <x:c r="AH629" s="26"/>
      <x:c r="AI629" s="26"/>
      <x:c r="AJ629" s="26"/>
      <x:c r="AK629" s="26"/>
      <x:c r="AL629" s="26"/>
      <x:c r="AM629" s="26"/>
    </x:row>
    <x:row r="630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  <x:c r="R630" s="26"/>
      <x:c r="S630" s="26"/>
      <x:c r="T630" s="26"/>
      <x:c r="U630" s="26"/>
      <x:c r="V630" s="26"/>
      <x:c r="W630" s="26"/>
      <x:c r="X630" s="26"/>
      <x:c r="Y630" s="26"/>
      <x:c r="Z630" s="26"/>
      <x:c r="AA630" s="26"/>
      <x:c r="AB630" s="26"/>
      <x:c r="AC630" s="26"/>
      <x:c r="AD630" s="26"/>
      <x:c r="AE630" s="26"/>
      <x:c r="AF630" s="26"/>
      <x:c r="AG630" s="26"/>
      <x:c r="AH630" s="26"/>
      <x:c r="AI630" s="26"/>
      <x:c r="AJ630" s="26"/>
      <x:c r="AK630" s="26"/>
      <x:c r="AL630" s="26"/>
      <x:c r="AM630" s="26"/>
    </x:row>
    <x:row r="63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  <x:c r="R631" s="26"/>
      <x:c r="S631" s="26"/>
      <x:c r="T631" s="26"/>
      <x:c r="U631" s="26"/>
      <x:c r="V631" s="26"/>
      <x:c r="W631" s="26"/>
      <x:c r="X631" s="26"/>
      <x:c r="Y631" s="26"/>
      <x:c r="Z631" s="26"/>
      <x:c r="AA631" s="26"/>
      <x:c r="AB631" s="26"/>
      <x:c r="AC631" s="26"/>
      <x:c r="AD631" s="26"/>
      <x:c r="AE631" s="26"/>
      <x:c r="AF631" s="26"/>
      <x:c r="AG631" s="26"/>
      <x:c r="AH631" s="26"/>
      <x:c r="AI631" s="26"/>
      <x:c r="AJ631" s="26"/>
      <x:c r="AK631" s="26"/>
      <x:c r="AL631" s="26"/>
      <x:c r="AM631" s="26"/>
    </x:row>
    <x:row r="632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  <x:c r="R632" s="26"/>
      <x:c r="S632" s="26"/>
      <x:c r="T632" s="26"/>
      <x:c r="U632" s="26"/>
      <x:c r="V632" s="26"/>
      <x:c r="W632" s="26"/>
      <x:c r="X632" s="26"/>
      <x:c r="Y632" s="26"/>
      <x:c r="Z632" s="26"/>
      <x:c r="AA632" s="26"/>
      <x:c r="AB632" s="26"/>
      <x:c r="AC632" s="26"/>
      <x:c r="AD632" s="26"/>
      <x:c r="AE632" s="26"/>
      <x:c r="AF632" s="26"/>
      <x:c r="AG632" s="26"/>
      <x:c r="AH632" s="26"/>
      <x:c r="AI632" s="26"/>
      <x:c r="AJ632" s="26"/>
      <x:c r="AK632" s="26"/>
      <x:c r="AL632" s="26"/>
      <x:c r="AM632" s="26"/>
    </x:row>
    <x:row r="633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  <x:c r="R633" s="26"/>
      <x:c r="S633" s="26"/>
      <x:c r="T633" s="26"/>
      <x:c r="U633" s="26"/>
      <x:c r="V633" s="26"/>
      <x:c r="W633" s="26"/>
      <x:c r="X633" s="26"/>
      <x:c r="Y633" s="26"/>
      <x:c r="Z633" s="26"/>
      <x:c r="AA633" s="26"/>
      <x:c r="AB633" s="26"/>
      <x:c r="AC633" s="26"/>
      <x:c r="AD633" s="26"/>
      <x:c r="AE633" s="26"/>
      <x:c r="AF633" s="26"/>
      <x:c r="AG633" s="26"/>
      <x:c r="AH633" s="26"/>
      <x:c r="AI633" s="26"/>
      <x:c r="AJ633" s="26"/>
      <x:c r="AK633" s="26"/>
      <x:c r="AL633" s="26"/>
      <x:c r="AM633" s="26"/>
    </x:row>
    <x:row r="634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  <x:c r="R634" s="26"/>
      <x:c r="S634" s="26"/>
      <x:c r="T634" s="26"/>
      <x:c r="U634" s="26"/>
      <x:c r="V634" s="26"/>
      <x:c r="W634" s="26"/>
      <x:c r="X634" s="26"/>
      <x:c r="Y634" s="26"/>
      <x:c r="Z634" s="26"/>
      <x:c r="AA634" s="26"/>
      <x:c r="AB634" s="26"/>
      <x:c r="AC634" s="26"/>
      <x:c r="AD634" s="26"/>
      <x:c r="AE634" s="26"/>
      <x:c r="AF634" s="26"/>
      <x:c r="AG634" s="26"/>
      <x:c r="AH634" s="26"/>
      <x:c r="AI634" s="26"/>
      <x:c r="AJ634" s="26"/>
      <x:c r="AK634" s="26"/>
      <x:c r="AL634" s="26"/>
      <x:c r="AM634" s="26"/>
    </x:row>
    <x:row r="635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  <x:c r="R635" s="26"/>
      <x:c r="S635" s="26"/>
      <x:c r="T635" s="26"/>
      <x:c r="U635" s="26"/>
      <x:c r="V635" s="26"/>
      <x:c r="W635" s="26"/>
      <x:c r="X635" s="26"/>
      <x:c r="Y635" s="26"/>
      <x:c r="Z635" s="26"/>
      <x:c r="AA635" s="26"/>
      <x:c r="AB635" s="26"/>
      <x:c r="AC635" s="26"/>
      <x:c r="AD635" s="26"/>
      <x:c r="AE635" s="26"/>
      <x:c r="AF635" s="26"/>
      <x:c r="AG635" s="26"/>
      <x:c r="AH635" s="26"/>
      <x:c r="AI635" s="26"/>
      <x:c r="AJ635" s="26"/>
      <x:c r="AK635" s="26"/>
      <x:c r="AL635" s="26"/>
      <x:c r="AM635" s="26"/>
    </x:row>
    <x:row r="636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  <x:c r="R636" s="26"/>
      <x:c r="S636" s="26"/>
      <x:c r="T636" s="26"/>
      <x:c r="U636" s="26"/>
      <x:c r="V636" s="26"/>
      <x:c r="W636" s="26"/>
      <x:c r="X636" s="26"/>
      <x:c r="Y636" s="26"/>
      <x:c r="Z636" s="26"/>
      <x:c r="AA636" s="26"/>
      <x:c r="AB636" s="26"/>
      <x:c r="AC636" s="26"/>
      <x:c r="AD636" s="26"/>
      <x:c r="AE636" s="26"/>
      <x:c r="AF636" s="26"/>
      <x:c r="AG636" s="26"/>
      <x:c r="AH636" s="26"/>
      <x:c r="AI636" s="26"/>
      <x:c r="AJ636" s="26"/>
      <x:c r="AK636" s="26"/>
      <x:c r="AL636" s="26"/>
      <x:c r="AM636" s="26"/>
    </x:row>
    <x:row r="637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  <x:c r="R637" s="26"/>
      <x:c r="S637" s="26"/>
      <x:c r="T637" s="26"/>
      <x:c r="U637" s="26"/>
      <x:c r="V637" s="26"/>
      <x:c r="W637" s="26"/>
      <x:c r="X637" s="26"/>
      <x:c r="Y637" s="26"/>
      <x:c r="Z637" s="26"/>
      <x:c r="AA637" s="26"/>
      <x:c r="AB637" s="26"/>
      <x:c r="AC637" s="26"/>
      <x:c r="AD637" s="26"/>
      <x:c r="AE637" s="26"/>
      <x:c r="AF637" s="26"/>
      <x:c r="AG637" s="26"/>
      <x:c r="AH637" s="26"/>
      <x:c r="AI637" s="26"/>
      <x:c r="AJ637" s="26"/>
      <x:c r="AK637" s="26"/>
      <x:c r="AL637" s="26"/>
      <x:c r="AM637" s="26"/>
    </x:row>
    <x:row r="638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  <x:c r="R638" s="26"/>
      <x:c r="S638" s="26"/>
      <x:c r="T638" s="26"/>
      <x:c r="U638" s="26"/>
      <x:c r="V638" s="26"/>
      <x:c r="W638" s="26"/>
      <x:c r="X638" s="26"/>
      <x:c r="Y638" s="26"/>
      <x:c r="Z638" s="26"/>
      <x:c r="AA638" s="26"/>
      <x:c r="AB638" s="26"/>
      <x:c r="AC638" s="26"/>
      <x:c r="AD638" s="26"/>
      <x:c r="AE638" s="26"/>
      <x:c r="AF638" s="26"/>
      <x:c r="AG638" s="26"/>
      <x:c r="AH638" s="26"/>
      <x:c r="AI638" s="26"/>
      <x:c r="AJ638" s="26"/>
      <x:c r="AK638" s="26"/>
      <x:c r="AL638" s="26"/>
      <x:c r="AM638" s="26"/>
    </x:row>
    <x:row r="639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  <x:c r="R639" s="26"/>
      <x:c r="S639" s="26"/>
      <x:c r="T639" s="26"/>
      <x:c r="U639" s="26"/>
      <x:c r="V639" s="26"/>
      <x:c r="W639" s="26"/>
      <x:c r="X639" s="26"/>
      <x:c r="Y639" s="26"/>
      <x:c r="Z639" s="26"/>
      <x:c r="AA639" s="26"/>
      <x:c r="AB639" s="26"/>
      <x:c r="AC639" s="26"/>
      <x:c r="AD639" s="26"/>
      <x:c r="AE639" s="26"/>
      <x:c r="AF639" s="26"/>
      <x:c r="AG639" s="26"/>
      <x:c r="AH639" s="26"/>
      <x:c r="AI639" s="26"/>
      <x:c r="AJ639" s="26"/>
      <x:c r="AK639" s="26"/>
      <x:c r="AL639" s="26"/>
      <x:c r="AM639" s="26"/>
    </x:row>
    <x:row r="640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  <x:c r="R640" s="26"/>
      <x:c r="S640" s="26"/>
      <x:c r="T640" s="26"/>
      <x:c r="U640" s="26"/>
      <x:c r="V640" s="26"/>
      <x:c r="W640" s="26"/>
      <x:c r="X640" s="26"/>
      <x:c r="Y640" s="26"/>
      <x:c r="Z640" s="26"/>
      <x:c r="AA640" s="26"/>
      <x:c r="AB640" s="26"/>
      <x:c r="AC640" s="26"/>
      <x:c r="AD640" s="26"/>
      <x:c r="AE640" s="26"/>
      <x:c r="AF640" s="26"/>
      <x:c r="AG640" s="26"/>
      <x:c r="AH640" s="26"/>
      <x:c r="AI640" s="26"/>
      <x:c r="AJ640" s="26"/>
      <x:c r="AK640" s="26"/>
      <x:c r="AL640" s="26"/>
      <x:c r="AM640" s="26"/>
    </x:row>
    <x:row r="64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  <x:c r="R641" s="26"/>
      <x:c r="S641" s="26"/>
      <x:c r="T641" s="26"/>
      <x:c r="U641" s="26"/>
      <x:c r="V641" s="26"/>
      <x:c r="W641" s="26"/>
      <x:c r="X641" s="26"/>
      <x:c r="Y641" s="26"/>
      <x:c r="Z641" s="26"/>
      <x:c r="AA641" s="26"/>
      <x:c r="AB641" s="26"/>
      <x:c r="AC641" s="26"/>
      <x:c r="AD641" s="26"/>
      <x:c r="AE641" s="26"/>
      <x:c r="AF641" s="26"/>
      <x:c r="AG641" s="26"/>
      <x:c r="AH641" s="26"/>
      <x:c r="AI641" s="26"/>
      <x:c r="AJ641" s="26"/>
      <x:c r="AK641" s="26"/>
      <x:c r="AL641" s="26"/>
      <x:c r="AM641" s="26"/>
    </x:row>
    <x:row r="642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  <x:c r="R642" s="26"/>
      <x:c r="S642" s="26"/>
      <x:c r="T642" s="26"/>
      <x:c r="U642" s="26"/>
      <x:c r="V642" s="26"/>
      <x:c r="W642" s="26"/>
      <x:c r="X642" s="26"/>
      <x:c r="Y642" s="26"/>
      <x:c r="Z642" s="26"/>
      <x:c r="AA642" s="26"/>
      <x:c r="AB642" s="26"/>
      <x:c r="AC642" s="26"/>
      <x:c r="AD642" s="26"/>
      <x:c r="AE642" s="26"/>
      <x:c r="AF642" s="26"/>
      <x:c r="AG642" s="26"/>
      <x:c r="AH642" s="26"/>
      <x:c r="AI642" s="26"/>
      <x:c r="AJ642" s="26"/>
      <x:c r="AK642" s="26"/>
      <x:c r="AL642" s="26"/>
      <x:c r="AM642" s="26"/>
    </x:row>
    <x:row r="643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  <x:c r="R643" s="26"/>
      <x:c r="S643" s="26"/>
      <x:c r="T643" s="26"/>
      <x:c r="U643" s="26"/>
      <x:c r="V643" s="26"/>
      <x:c r="W643" s="26"/>
      <x:c r="X643" s="26"/>
      <x:c r="Y643" s="26"/>
      <x:c r="Z643" s="26"/>
      <x:c r="AA643" s="26"/>
      <x:c r="AB643" s="26"/>
      <x:c r="AC643" s="26"/>
      <x:c r="AD643" s="26"/>
      <x:c r="AE643" s="26"/>
      <x:c r="AF643" s="26"/>
      <x:c r="AG643" s="26"/>
      <x:c r="AH643" s="26"/>
      <x:c r="AI643" s="26"/>
      <x:c r="AJ643" s="26"/>
      <x:c r="AK643" s="26"/>
      <x:c r="AL643" s="26"/>
      <x:c r="AM643" s="26"/>
    </x:row>
    <x:row r="644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  <x:c r="R644" s="26"/>
      <x:c r="S644" s="26"/>
      <x:c r="T644" s="26"/>
      <x:c r="U644" s="26"/>
      <x:c r="V644" s="26"/>
      <x:c r="W644" s="26"/>
      <x:c r="X644" s="26"/>
      <x:c r="Y644" s="26"/>
      <x:c r="Z644" s="26"/>
      <x:c r="AA644" s="26"/>
      <x:c r="AB644" s="26"/>
      <x:c r="AC644" s="26"/>
      <x:c r="AD644" s="26"/>
      <x:c r="AE644" s="26"/>
      <x:c r="AF644" s="26"/>
      <x:c r="AG644" s="26"/>
      <x:c r="AH644" s="26"/>
      <x:c r="AI644" s="26"/>
      <x:c r="AJ644" s="26"/>
      <x:c r="AK644" s="26"/>
      <x:c r="AL644" s="26"/>
      <x:c r="AM644" s="26"/>
    </x:row>
    <x:row r="645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  <x:c r="R645" s="26"/>
      <x:c r="S645" s="26"/>
      <x:c r="T645" s="26"/>
      <x:c r="U645" s="26"/>
      <x:c r="V645" s="26"/>
      <x:c r="W645" s="26"/>
      <x:c r="X645" s="26"/>
      <x:c r="Y645" s="26"/>
      <x:c r="Z645" s="26"/>
      <x:c r="AA645" s="26"/>
      <x:c r="AB645" s="26"/>
      <x:c r="AC645" s="26"/>
      <x:c r="AD645" s="26"/>
      <x:c r="AE645" s="26"/>
      <x:c r="AF645" s="26"/>
      <x:c r="AG645" s="26"/>
      <x:c r="AH645" s="26"/>
      <x:c r="AI645" s="26"/>
      <x:c r="AJ645" s="26"/>
      <x:c r="AK645" s="26"/>
      <x:c r="AL645" s="26"/>
      <x:c r="AM645" s="26"/>
    </x:row>
    <x:row r="646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  <x:c r="R646" s="26"/>
      <x:c r="S646" s="26"/>
      <x:c r="T646" s="26"/>
      <x:c r="U646" s="26"/>
      <x:c r="V646" s="26"/>
      <x:c r="W646" s="26"/>
      <x:c r="X646" s="26"/>
      <x:c r="Y646" s="26"/>
      <x:c r="Z646" s="26"/>
      <x:c r="AA646" s="26"/>
      <x:c r="AB646" s="26"/>
      <x:c r="AC646" s="26"/>
      <x:c r="AD646" s="26"/>
      <x:c r="AE646" s="26"/>
      <x:c r="AF646" s="26"/>
      <x:c r="AG646" s="26"/>
      <x:c r="AH646" s="26"/>
      <x:c r="AI646" s="26"/>
      <x:c r="AJ646" s="26"/>
      <x:c r="AK646" s="26"/>
      <x:c r="AL646" s="26"/>
      <x:c r="AM646" s="26"/>
    </x:row>
    <x:row r="647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  <x:c r="R647" s="26"/>
      <x:c r="S647" s="26"/>
      <x:c r="T647" s="26"/>
      <x:c r="U647" s="26"/>
      <x:c r="V647" s="26"/>
      <x:c r="W647" s="26"/>
      <x:c r="X647" s="26"/>
      <x:c r="Y647" s="26"/>
      <x:c r="Z647" s="26"/>
      <x:c r="AA647" s="26"/>
      <x:c r="AB647" s="26"/>
      <x:c r="AC647" s="26"/>
      <x:c r="AD647" s="26"/>
      <x:c r="AE647" s="26"/>
      <x:c r="AF647" s="26"/>
      <x:c r="AG647" s="26"/>
      <x:c r="AH647" s="26"/>
      <x:c r="AI647" s="26"/>
      <x:c r="AJ647" s="26"/>
      <x:c r="AK647" s="26"/>
      <x:c r="AL647" s="26"/>
      <x:c r="AM647" s="26"/>
    </x:row>
    <x:row r="648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  <x:c r="R648" s="26"/>
      <x:c r="S648" s="26"/>
      <x:c r="T648" s="26"/>
      <x:c r="U648" s="26"/>
      <x:c r="V648" s="26"/>
      <x:c r="W648" s="26"/>
      <x:c r="X648" s="26"/>
      <x:c r="Y648" s="26"/>
      <x:c r="Z648" s="26"/>
      <x:c r="AA648" s="26"/>
      <x:c r="AB648" s="26"/>
      <x:c r="AC648" s="26"/>
      <x:c r="AD648" s="26"/>
      <x:c r="AE648" s="26"/>
      <x:c r="AF648" s="26"/>
      <x:c r="AG648" s="26"/>
      <x:c r="AH648" s="26"/>
      <x:c r="AI648" s="26"/>
      <x:c r="AJ648" s="26"/>
      <x:c r="AK648" s="26"/>
      <x:c r="AL648" s="26"/>
      <x:c r="AM648" s="26"/>
    </x:row>
    <x:row r="649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  <x:c r="R649" s="26"/>
      <x:c r="S649" s="26"/>
      <x:c r="T649" s="26"/>
      <x:c r="U649" s="26"/>
      <x:c r="V649" s="26"/>
      <x:c r="W649" s="26"/>
      <x:c r="X649" s="26"/>
      <x:c r="Y649" s="26"/>
      <x:c r="Z649" s="26"/>
      <x:c r="AA649" s="26"/>
      <x:c r="AB649" s="26"/>
      <x:c r="AC649" s="26"/>
      <x:c r="AD649" s="26"/>
      <x:c r="AE649" s="26"/>
      <x:c r="AF649" s="26"/>
      <x:c r="AG649" s="26"/>
      <x:c r="AH649" s="26"/>
      <x:c r="AI649" s="26"/>
      <x:c r="AJ649" s="26"/>
      <x:c r="AK649" s="26"/>
      <x:c r="AL649" s="26"/>
      <x:c r="AM649" s="26"/>
    </x:row>
    <x:row r="650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  <x:c r="R650" s="26"/>
      <x:c r="S650" s="26"/>
      <x:c r="T650" s="26"/>
      <x:c r="U650" s="26"/>
      <x:c r="V650" s="26"/>
      <x:c r="W650" s="26"/>
      <x:c r="X650" s="26"/>
      <x:c r="Y650" s="26"/>
      <x:c r="Z650" s="26"/>
      <x:c r="AA650" s="26"/>
      <x:c r="AB650" s="26"/>
      <x:c r="AC650" s="26"/>
      <x:c r="AD650" s="26"/>
      <x:c r="AE650" s="26"/>
      <x:c r="AF650" s="26"/>
      <x:c r="AG650" s="26"/>
      <x:c r="AH650" s="26"/>
      <x:c r="AI650" s="26"/>
      <x:c r="AJ650" s="26"/>
      <x:c r="AK650" s="26"/>
      <x:c r="AL650" s="26"/>
      <x:c r="AM650" s="26"/>
    </x:row>
    <x:row r="65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  <x:c r="R651" s="26"/>
      <x:c r="S651" s="26"/>
      <x:c r="T651" s="26"/>
      <x:c r="U651" s="26"/>
      <x:c r="V651" s="26"/>
      <x:c r="W651" s="26"/>
      <x:c r="X651" s="26"/>
      <x:c r="Y651" s="26"/>
      <x:c r="Z651" s="26"/>
      <x:c r="AA651" s="26"/>
      <x:c r="AB651" s="26"/>
      <x:c r="AC651" s="26"/>
      <x:c r="AD651" s="26"/>
      <x:c r="AE651" s="26"/>
      <x:c r="AF651" s="26"/>
      <x:c r="AG651" s="26"/>
      <x:c r="AH651" s="26"/>
      <x:c r="AI651" s="26"/>
      <x:c r="AJ651" s="26"/>
      <x:c r="AK651" s="26"/>
      <x:c r="AL651" s="26"/>
      <x:c r="AM651" s="26"/>
    </x:row>
    <x:row r="652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  <x:c r="R652" s="26"/>
      <x:c r="S652" s="26"/>
      <x:c r="T652" s="26"/>
      <x:c r="U652" s="26"/>
      <x:c r="V652" s="26"/>
      <x:c r="W652" s="26"/>
      <x:c r="X652" s="26"/>
      <x:c r="Y652" s="26"/>
      <x:c r="Z652" s="26"/>
      <x:c r="AA652" s="26"/>
      <x:c r="AB652" s="26"/>
      <x:c r="AC652" s="26"/>
      <x:c r="AD652" s="26"/>
      <x:c r="AE652" s="26"/>
      <x:c r="AF652" s="26"/>
      <x:c r="AG652" s="26"/>
      <x:c r="AH652" s="26"/>
      <x:c r="AI652" s="26"/>
      <x:c r="AJ652" s="26"/>
      <x:c r="AK652" s="26"/>
      <x:c r="AL652" s="26"/>
      <x:c r="AM652" s="26"/>
    </x:row>
    <x:row r="653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  <x:c r="R653" s="26"/>
      <x:c r="S653" s="26"/>
      <x:c r="T653" s="26"/>
      <x:c r="U653" s="26"/>
      <x:c r="V653" s="26"/>
      <x:c r="W653" s="26"/>
      <x:c r="X653" s="26"/>
      <x:c r="Y653" s="26"/>
      <x:c r="Z653" s="26"/>
      <x:c r="AA653" s="26"/>
      <x:c r="AB653" s="26"/>
      <x:c r="AC653" s="26"/>
      <x:c r="AD653" s="26"/>
      <x:c r="AE653" s="26"/>
      <x:c r="AF653" s="26"/>
      <x:c r="AG653" s="26"/>
      <x:c r="AH653" s="26"/>
      <x:c r="AI653" s="26"/>
      <x:c r="AJ653" s="26"/>
      <x:c r="AK653" s="26"/>
      <x:c r="AL653" s="26"/>
      <x:c r="AM653" s="26"/>
    </x:row>
    <x:row r="654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  <x:c r="R654" s="26"/>
      <x:c r="S654" s="26"/>
      <x:c r="T654" s="26"/>
      <x:c r="U654" s="26"/>
      <x:c r="V654" s="26"/>
      <x:c r="W654" s="26"/>
      <x:c r="X654" s="26"/>
      <x:c r="Y654" s="26"/>
      <x:c r="Z654" s="26"/>
      <x:c r="AA654" s="26"/>
      <x:c r="AB654" s="26"/>
      <x:c r="AC654" s="26"/>
      <x:c r="AD654" s="26"/>
      <x:c r="AE654" s="26"/>
      <x:c r="AF654" s="26"/>
      <x:c r="AG654" s="26"/>
      <x:c r="AH654" s="26"/>
      <x:c r="AI654" s="26"/>
      <x:c r="AJ654" s="26"/>
      <x:c r="AK654" s="26"/>
      <x:c r="AL654" s="26"/>
      <x:c r="AM654" s="26"/>
    </x:row>
    <x:row r="655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  <x:c r="R655" s="26"/>
      <x:c r="S655" s="26"/>
      <x:c r="T655" s="26"/>
      <x:c r="U655" s="26"/>
      <x:c r="V655" s="26"/>
      <x:c r="W655" s="26"/>
      <x:c r="X655" s="26"/>
      <x:c r="Y655" s="26"/>
      <x:c r="Z655" s="26"/>
      <x:c r="AA655" s="26"/>
      <x:c r="AB655" s="26"/>
      <x:c r="AC655" s="26"/>
      <x:c r="AD655" s="26"/>
      <x:c r="AE655" s="26"/>
      <x:c r="AF655" s="26"/>
      <x:c r="AG655" s="26"/>
      <x:c r="AH655" s="26"/>
      <x:c r="AI655" s="26"/>
      <x:c r="AJ655" s="26"/>
      <x:c r="AK655" s="26"/>
      <x:c r="AL655" s="26"/>
      <x:c r="AM655" s="26"/>
    </x:row>
    <x:row r="656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  <x:c r="R656" s="26"/>
      <x:c r="S656" s="26"/>
      <x:c r="T656" s="26"/>
      <x:c r="U656" s="26"/>
      <x:c r="V656" s="26"/>
      <x:c r="W656" s="26"/>
      <x:c r="X656" s="26"/>
      <x:c r="Y656" s="26"/>
      <x:c r="Z656" s="26"/>
      <x:c r="AA656" s="26"/>
      <x:c r="AB656" s="26"/>
      <x:c r="AC656" s="26"/>
      <x:c r="AD656" s="26"/>
      <x:c r="AE656" s="26"/>
      <x:c r="AF656" s="26"/>
      <x:c r="AG656" s="26"/>
      <x:c r="AH656" s="26"/>
      <x:c r="AI656" s="26"/>
      <x:c r="AJ656" s="26"/>
      <x:c r="AK656" s="26"/>
      <x:c r="AL656" s="26"/>
      <x:c r="AM656" s="26"/>
    </x:row>
    <x:row r="657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  <x:c r="R657" s="26"/>
      <x:c r="S657" s="26"/>
      <x:c r="T657" s="26"/>
      <x:c r="U657" s="26"/>
      <x:c r="V657" s="26"/>
      <x:c r="W657" s="26"/>
      <x:c r="X657" s="26"/>
      <x:c r="Y657" s="26"/>
      <x:c r="Z657" s="26"/>
      <x:c r="AA657" s="26"/>
      <x:c r="AB657" s="26"/>
      <x:c r="AC657" s="26"/>
      <x:c r="AD657" s="26"/>
      <x:c r="AE657" s="26"/>
      <x:c r="AF657" s="26"/>
      <x:c r="AG657" s="26"/>
      <x:c r="AH657" s="26"/>
      <x:c r="AI657" s="26"/>
      <x:c r="AJ657" s="26"/>
      <x:c r="AK657" s="26"/>
      <x:c r="AL657" s="26"/>
      <x:c r="AM657" s="26"/>
    </x:row>
    <x:row r="658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  <x:c r="R658" s="26"/>
      <x:c r="S658" s="26"/>
      <x:c r="T658" s="26"/>
      <x:c r="U658" s="26"/>
      <x:c r="V658" s="26"/>
      <x:c r="W658" s="26"/>
      <x:c r="X658" s="26"/>
      <x:c r="Y658" s="26"/>
      <x:c r="Z658" s="26"/>
      <x:c r="AA658" s="26"/>
      <x:c r="AB658" s="26"/>
      <x:c r="AC658" s="26"/>
      <x:c r="AD658" s="26"/>
      <x:c r="AE658" s="26"/>
      <x:c r="AF658" s="26"/>
      <x:c r="AG658" s="26"/>
      <x:c r="AH658" s="26"/>
      <x:c r="AI658" s="26"/>
      <x:c r="AJ658" s="26"/>
      <x:c r="AK658" s="26"/>
      <x:c r="AL658" s="26"/>
      <x:c r="AM658" s="26"/>
    </x:row>
    <x:row r="659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  <x:c r="R659" s="26"/>
      <x:c r="S659" s="26"/>
      <x:c r="T659" s="26"/>
      <x:c r="U659" s="26"/>
      <x:c r="V659" s="26"/>
      <x:c r="W659" s="26"/>
      <x:c r="X659" s="26"/>
      <x:c r="Y659" s="26"/>
      <x:c r="Z659" s="26"/>
      <x:c r="AA659" s="26"/>
      <x:c r="AB659" s="26"/>
      <x:c r="AC659" s="26"/>
      <x:c r="AD659" s="26"/>
      <x:c r="AE659" s="26"/>
      <x:c r="AF659" s="26"/>
      <x:c r="AG659" s="26"/>
      <x:c r="AH659" s="26"/>
      <x:c r="AI659" s="26"/>
      <x:c r="AJ659" s="26"/>
      <x:c r="AK659" s="26"/>
      <x:c r="AL659" s="26"/>
      <x:c r="AM659" s="26"/>
    </x:row>
    <x:row r="660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  <x:c r="R660" s="26"/>
      <x:c r="S660" s="26"/>
      <x:c r="T660" s="26"/>
      <x:c r="U660" s="26"/>
      <x:c r="V660" s="26"/>
      <x:c r="W660" s="26"/>
      <x:c r="X660" s="26"/>
      <x:c r="Y660" s="26"/>
      <x:c r="Z660" s="26"/>
      <x:c r="AA660" s="26"/>
      <x:c r="AB660" s="26"/>
      <x:c r="AC660" s="26"/>
      <x:c r="AD660" s="26"/>
      <x:c r="AE660" s="26"/>
      <x:c r="AF660" s="26"/>
      <x:c r="AG660" s="26"/>
      <x:c r="AH660" s="26"/>
      <x:c r="AI660" s="26"/>
      <x:c r="AJ660" s="26"/>
      <x:c r="AK660" s="26"/>
      <x:c r="AL660" s="26"/>
      <x:c r="AM660" s="26"/>
    </x:row>
    <x:row r="66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  <x:c r="R661" s="26"/>
      <x:c r="S661" s="26"/>
      <x:c r="T661" s="26"/>
      <x:c r="U661" s="26"/>
      <x:c r="V661" s="26"/>
      <x:c r="W661" s="26"/>
      <x:c r="X661" s="26"/>
      <x:c r="Y661" s="26"/>
      <x:c r="Z661" s="26"/>
      <x:c r="AA661" s="26"/>
      <x:c r="AB661" s="26"/>
      <x:c r="AC661" s="26"/>
      <x:c r="AD661" s="26"/>
      <x:c r="AE661" s="26"/>
      <x:c r="AF661" s="26"/>
      <x:c r="AG661" s="26"/>
      <x:c r="AH661" s="26"/>
      <x:c r="AI661" s="26"/>
      <x:c r="AJ661" s="26"/>
      <x:c r="AK661" s="26"/>
      <x:c r="AL661" s="26"/>
      <x:c r="AM661" s="26"/>
    </x:row>
    <x:row r="662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  <x:c r="R662" s="26"/>
      <x:c r="S662" s="26"/>
      <x:c r="T662" s="26"/>
      <x:c r="U662" s="26"/>
      <x:c r="V662" s="26"/>
      <x:c r="W662" s="26"/>
      <x:c r="X662" s="26"/>
      <x:c r="Y662" s="26"/>
      <x:c r="Z662" s="26"/>
      <x:c r="AA662" s="26"/>
      <x:c r="AB662" s="26"/>
      <x:c r="AC662" s="26"/>
      <x:c r="AD662" s="26"/>
      <x:c r="AE662" s="26"/>
      <x:c r="AF662" s="26"/>
      <x:c r="AG662" s="26"/>
      <x:c r="AH662" s="26"/>
      <x:c r="AI662" s="26"/>
      <x:c r="AJ662" s="26"/>
      <x:c r="AK662" s="26"/>
      <x:c r="AL662" s="26"/>
      <x:c r="AM662" s="26"/>
    </x:row>
    <x:row r="663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  <x:c r="R663" s="26"/>
      <x:c r="S663" s="26"/>
      <x:c r="T663" s="26"/>
      <x:c r="U663" s="26"/>
      <x:c r="V663" s="26"/>
      <x:c r="W663" s="26"/>
      <x:c r="X663" s="26"/>
      <x:c r="Y663" s="26"/>
      <x:c r="Z663" s="26"/>
      <x:c r="AA663" s="26"/>
      <x:c r="AB663" s="26"/>
      <x:c r="AC663" s="26"/>
      <x:c r="AD663" s="26"/>
      <x:c r="AE663" s="26"/>
      <x:c r="AF663" s="26"/>
      <x:c r="AG663" s="26"/>
      <x:c r="AH663" s="26"/>
      <x:c r="AI663" s="26"/>
      <x:c r="AJ663" s="26"/>
      <x:c r="AK663" s="26"/>
      <x:c r="AL663" s="26"/>
      <x:c r="AM663" s="26"/>
    </x:row>
    <x:row r="664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  <x:c r="R664" s="26"/>
      <x:c r="S664" s="26"/>
      <x:c r="T664" s="26"/>
      <x:c r="U664" s="26"/>
      <x:c r="V664" s="26"/>
      <x:c r="W664" s="26"/>
      <x:c r="X664" s="26"/>
      <x:c r="Y664" s="26"/>
      <x:c r="Z664" s="26"/>
      <x:c r="AA664" s="26"/>
      <x:c r="AB664" s="26"/>
      <x:c r="AC664" s="26"/>
      <x:c r="AD664" s="26"/>
      <x:c r="AE664" s="26"/>
      <x:c r="AF664" s="26"/>
      <x:c r="AG664" s="26"/>
      <x:c r="AH664" s="26"/>
      <x:c r="AI664" s="26"/>
      <x:c r="AJ664" s="26"/>
      <x:c r="AK664" s="26"/>
      <x:c r="AL664" s="26"/>
      <x:c r="AM664" s="26"/>
    </x:row>
    <x:row r="665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  <x:c r="R665" s="26"/>
      <x:c r="S665" s="26"/>
      <x:c r="T665" s="26"/>
      <x:c r="U665" s="26"/>
      <x:c r="V665" s="26"/>
      <x:c r="W665" s="26"/>
      <x:c r="X665" s="26"/>
      <x:c r="Y665" s="26"/>
      <x:c r="Z665" s="26"/>
      <x:c r="AA665" s="26"/>
      <x:c r="AB665" s="26"/>
      <x:c r="AC665" s="26"/>
      <x:c r="AD665" s="26"/>
      <x:c r="AE665" s="26"/>
      <x:c r="AF665" s="26"/>
      <x:c r="AG665" s="26"/>
      <x:c r="AH665" s="26"/>
      <x:c r="AI665" s="26"/>
      <x:c r="AJ665" s="26"/>
      <x:c r="AK665" s="26"/>
      <x:c r="AL665" s="26"/>
      <x:c r="AM665" s="26"/>
    </x:row>
    <x:row r="666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  <x:c r="R666" s="26"/>
      <x:c r="S666" s="26"/>
      <x:c r="T666" s="26"/>
      <x:c r="U666" s="26"/>
      <x:c r="V666" s="26"/>
      <x:c r="W666" s="26"/>
      <x:c r="X666" s="26"/>
      <x:c r="Y666" s="26"/>
      <x:c r="Z666" s="26"/>
      <x:c r="AA666" s="26"/>
      <x:c r="AB666" s="26"/>
      <x:c r="AC666" s="26"/>
      <x:c r="AD666" s="26"/>
      <x:c r="AE666" s="26"/>
      <x:c r="AF666" s="26"/>
      <x:c r="AG666" s="26"/>
      <x:c r="AH666" s="26"/>
      <x:c r="AI666" s="26"/>
      <x:c r="AJ666" s="26"/>
      <x:c r="AK666" s="26"/>
      <x:c r="AL666" s="26"/>
      <x:c r="AM666" s="26"/>
    </x:row>
    <x:row r="667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  <x:c r="R667" s="26"/>
      <x:c r="S667" s="26"/>
      <x:c r="T667" s="26"/>
      <x:c r="U667" s="26"/>
      <x:c r="V667" s="26"/>
      <x:c r="W667" s="26"/>
      <x:c r="X667" s="26"/>
      <x:c r="Y667" s="26"/>
      <x:c r="Z667" s="26"/>
      <x:c r="AA667" s="26"/>
      <x:c r="AB667" s="26"/>
      <x:c r="AC667" s="26"/>
      <x:c r="AD667" s="26"/>
      <x:c r="AE667" s="26"/>
      <x:c r="AF667" s="26"/>
      <x:c r="AG667" s="26"/>
      <x:c r="AH667" s="26"/>
      <x:c r="AI667" s="26"/>
      <x:c r="AJ667" s="26"/>
      <x:c r="AK667" s="26"/>
      <x:c r="AL667" s="26"/>
      <x:c r="AM667" s="26"/>
    </x:row>
    <x:row r="668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  <x:c r="R668" s="26"/>
      <x:c r="S668" s="26"/>
      <x:c r="T668" s="26"/>
      <x:c r="U668" s="26"/>
      <x:c r="V668" s="26"/>
      <x:c r="W668" s="26"/>
      <x:c r="X668" s="26"/>
      <x:c r="Y668" s="26"/>
      <x:c r="Z668" s="26"/>
      <x:c r="AA668" s="26"/>
      <x:c r="AB668" s="26"/>
      <x:c r="AC668" s="26"/>
      <x:c r="AD668" s="26"/>
      <x:c r="AE668" s="26"/>
      <x:c r="AF668" s="26"/>
      <x:c r="AG668" s="26"/>
      <x:c r="AH668" s="26"/>
      <x:c r="AI668" s="26"/>
      <x:c r="AJ668" s="26"/>
      <x:c r="AK668" s="26"/>
      <x:c r="AL668" s="26"/>
      <x:c r="AM668" s="26"/>
    </x:row>
    <x:row r="669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  <x:c r="R669" s="26"/>
      <x:c r="S669" s="26"/>
      <x:c r="T669" s="26"/>
      <x:c r="U669" s="26"/>
      <x:c r="V669" s="26"/>
      <x:c r="W669" s="26"/>
      <x:c r="X669" s="26"/>
      <x:c r="Y669" s="26"/>
      <x:c r="Z669" s="26"/>
      <x:c r="AA669" s="26"/>
      <x:c r="AB669" s="26"/>
      <x:c r="AC669" s="26"/>
      <x:c r="AD669" s="26"/>
      <x:c r="AE669" s="26"/>
      <x:c r="AF669" s="26"/>
      <x:c r="AG669" s="26"/>
      <x:c r="AH669" s="26"/>
      <x:c r="AI669" s="26"/>
      <x:c r="AJ669" s="26"/>
      <x:c r="AK669" s="26"/>
      <x:c r="AL669" s="26"/>
      <x:c r="AM669" s="26"/>
    </x:row>
    <x:row r="670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  <x:c r="R670" s="26"/>
      <x:c r="S670" s="26"/>
      <x:c r="T670" s="26"/>
      <x:c r="U670" s="26"/>
      <x:c r="V670" s="26"/>
      <x:c r="W670" s="26"/>
      <x:c r="X670" s="26"/>
      <x:c r="Y670" s="26"/>
      <x:c r="Z670" s="26"/>
      <x:c r="AA670" s="26"/>
      <x:c r="AB670" s="26"/>
      <x:c r="AC670" s="26"/>
      <x:c r="AD670" s="26"/>
      <x:c r="AE670" s="26"/>
      <x:c r="AF670" s="26"/>
      <x:c r="AG670" s="26"/>
      <x:c r="AH670" s="26"/>
      <x:c r="AI670" s="26"/>
      <x:c r="AJ670" s="26"/>
      <x:c r="AK670" s="26"/>
      <x:c r="AL670" s="26"/>
      <x:c r="AM670" s="26"/>
    </x:row>
    <x:row r="67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  <x:c r="R671" s="26"/>
      <x:c r="S671" s="26"/>
      <x:c r="T671" s="26"/>
      <x:c r="U671" s="26"/>
      <x:c r="V671" s="26"/>
      <x:c r="W671" s="26"/>
      <x:c r="X671" s="26"/>
      <x:c r="Y671" s="26"/>
      <x:c r="Z671" s="26"/>
      <x:c r="AA671" s="26"/>
      <x:c r="AB671" s="26"/>
      <x:c r="AC671" s="26"/>
      <x:c r="AD671" s="26"/>
      <x:c r="AE671" s="26"/>
      <x:c r="AF671" s="26"/>
      <x:c r="AG671" s="26"/>
      <x:c r="AH671" s="26"/>
      <x:c r="AI671" s="26"/>
      <x:c r="AJ671" s="26"/>
      <x:c r="AK671" s="26"/>
      <x:c r="AL671" s="26"/>
      <x:c r="AM671" s="26"/>
    </x:row>
    <x:row r="672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  <x:c r="R672" s="26"/>
      <x:c r="S672" s="26"/>
      <x:c r="T672" s="26"/>
      <x:c r="U672" s="26"/>
      <x:c r="V672" s="26"/>
      <x:c r="W672" s="26"/>
      <x:c r="X672" s="26"/>
      <x:c r="Y672" s="26"/>
      <x:c r="Z672" s="26"/>
      <x:c r="AA672" s="26"/>
      <x:c r="AB672" s="26"/>
      <x:c r="AC672" s="26"/>
      <x:c r="AD672" s="26"/>
      <x:c r="AE672" s="26"/>
      <x:c r="AF672" s="26"/>
      <x:c r="AG672" s="26"/>
      <x:c r="AH672" s="26"/>
      <x:c r="AI672" s="26"/>
      <x:c r="AJ672" s="26"/>
      <x:c r="AK672" s="26"/>
      <x:c r="AL672" s="26"/>
      <x:c r="AM672" s="26"/>
    </x:row>
    <x:row r="673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  <x:c r="R673" s="26"/>
      <x:c r="S673" s="26"/>
      <x:c r="T673" s="26"/>
      <x:c r="U673" s="26"/>
      <x:c r="V673" s="26"/>
      <x:c r="W673" s="26"/>
      <x:c r="X673" s="26"/>
      <x:c r="Y673" s="26"/>
      <x:c r="Z673" s="26"/>
      <x:c r="AA673" s="26"/>
      <x:c r="AB673" s="26"/>
      <x:c r="AC673" s="26"/>
      <x:c r="AD673" s="26"/>
      <x:c r="AE673" s="26"/>
      <x:c r="AF673" s="26"/>
      <x:c r="AG673" s="26"/>
      <x:c r="AH673" s="26"/>
      <x:c r="AI673" s="26"/>
      <x:c r="AJ673" s="26"/>
      <x:c r="AK673" s="26"/>
      <x:c r="AL673" s="26"/>
      <x:c r="AM673" s="26"/>
    </x:row>
    <x:row r="674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  <x:c r="R674" s="26"/>
      <x:c r="S674" s="26"/>
      <x:c r="T674" s="26"/>
      <x:c r="U674" s="26"/>
      <x:c r="V674" s="26"/>
      <x:c r="W674" s="26"/>
      <x:c r="X674" s="26"/>
      <x:c r="Y674" s="26"/>
      <x:c r="Z674" s="26"/>
      <x:c r="AA674" s="26"/>
      <x:c r="AB674" s="26"/>
      <x:c r="AC674" s="26"/>
      <x:c r="AD674" s="26"/>
      <x:c r="AE674" s="26"/>
      <x:c r="AF674" s="26"/>
      <x:c r="AG674" s="26"/>
      <x:c r="AH674" s="26"/>
      <x:c r="AI674" s="26"/>
      <x:c r="AJ674" s="26"/>
      <x:c r="AK674" s="26"/>
      <x:c r="AL674" s="26"/>
      <x:c r="AM674" s="26"/>
    </x:row>
    <x:row r="675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  <x:c r="R675" s="26"/>
      <x:c r="S675" s="26"/>
      <x:c r="T675" s="26"/>
      <x:c r="U675" s="26"/>
      <x:c r="V675" s="26"/>
      <x:c r="W675" s="26"/>
      <x:c r="X675" s="26"/>
      <x:c r="Y675" s="26"/>
      <x:c r="Z675" s="26"/>
      <x:c r="AA675" s="26"/>
      <x:c r="AB675" s="26"/>
      <x:c r="AC675" s="26"/>
      <x:c r="AD675" s="26"/>
      <x:c r="AE675" s="26"/>
      <x:c r="AF675" s="26"/>
      <x:c r="AG675" s="26"/>
      <x:c r="AH675" s="26"/>
      <x:c r="AI675" s="26"/>
      <x:c r="AJ675" s="26"/>
      <x:c r="AK675" s="26"/>
      <x:c r="AL675" s="26"/>
      <x:c r="AM675" s="26"/>
    </x:row>
    <x:row r="676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  <x:c r="R676" s="26"/>
      <x:c r="S676" s="26"/>
      <x:c r="T676" s="26"/>
      <x:c r="U676" s="26"/>
      <x:c r="V676" s="26"/>
      <x:c r="W676" s="26"/>
      <x:c r="X676" s="26"/>
      <x:c r="Y676" s="26"/>
      <x:c r="Z676" s="26"/>
      <x:c r="AA676" s="26"/>
      <x:c r="AB676" s="26"/>
      <x:c r="AC676" s="26"/>
      <x:c r="AD676" s="26"/>
      <x:c r="AE676" s="26"/>
      <x:c r="AF676" s="26"/>
      <x:c r="AG676" s="26"/>
      <x:c r="AH676" s="26"/>
      <x:c r="AI676" s="26"/>
      <x:c r="AJ676" s="26"/>
      <x:c r="AK676" s="26"/>
      <x:c r="AL676" s="26"/>
      <x:c r="AM676" s="26"/>
    </x:row>
    <x:row r="677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  <x:c r="R677" s="26"/>
      <x:c r="S677" s="26"/>
      <x:c r="T677" s="26"/>
      <x:c r="U677" s="26"/>
      <x:c r="V677" s="26"/>
      <x:c r="W677" s="26"/>
      <x:c r="X677" s="26"/>
      <x:c r="Y677" s="26"/>
      <x:c r="Z677" s="26"/>
      <x:c r="AA677" s="26"/>
      <x:c r="AB677" s="26"/>
      <x:c r="AC677" s="26"/>
      <x:c r="AD677" s="26"/>
      <x:c r="AE677" s="26"/>
      <x:c r="AF677" s="26"/>
      <x:c r="AG677" s="26"/>
      <x:c r="AH677" s="26"/>
      <x:c r="AI677" s="26"/>
      <x:c r="AJ677" s="26"/>
      <x:c r="AK677" s="26"/>
      <x:c r="AL677" s="26"/>
      <x:c r="AM677" s="26"/>
    </x:row>
    <x:row r="678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  <x:c r="R678" s="26"/>
      <x:c r="S678" s="26"/>
      <x:c r="T678" s="26"/>
      <x:c r="U678" s="26"/>
      <x:c r="V678" s="26"/>
      <x:c r="W678" s="26"/>
      <x:c r="X678" s="26"/>
      <x:c r="Y678" s="26"/>
      <x:c r="Z678" s="26"/>
      <x:c r="AA678" s="26"/>
      <x:c r="AB678" s="26"/>
      <x:c r="AC678" s="26"/>
      <x:c r="AD678" s="26"/>
      <x:c r="AE678" s="26"/>
      <x:c r="AF678" s="26"/>
      <x:c r="AG678" s="26"/>
      <x:c r="AH678" s="26"/>
      <x:c r="AI678" s="26"/>
      <x:c r="AJ678" s="26"/>
      <x:c r="AK678" s="26"/>
      <x:c r="AL678" s="26"/>
      <x:c r="AM678" s="26"/>
    </x:row>
    <x:row r="679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  <x:c r="R679" s="26"/>
      <x:c r="S679" s="26"/>
      <x:c r="T679" s="26"/>
      <x:c r="U679" s="26"/>
      <x:c r="V679" s="26"/>
      <x:c r="W679" s="26"/>
      <x:c r="X679" s="26"/>
      <x:c r="Y679" s="26"/>
      <x:c r="Z679" s="26"/>
      <x:c r="AA679" s="26"/>
      <x:c r="AB679" s="26"/>
      <x:c r="AC679" s="26"/>
      <x:c r="AD679" s="26"/>
      <x:c r="AE679" s="26"/>
      <x:c r="AF679" s="26"/>
      <x:c r="AG679" s="26"/>
      <x:c r="AH679" s="26"/>
      <x:c r="AI679" s="26"/>
      <x:c r="AJ679" s="26"/>
      <x:c r="AK679" s="26"/>
      <x:c r="AL679" s="26"/>
      <x:c r="AM679" s="26"/>
    </x:row>
    <x:row r="680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  <x:c r="R680" s="26"/>
      <x:c r="S680" s="26"/>
      <x:c r="T680" s="26"/>
      <x:c r="U680" s="26"/>
      <x:c r="V680" s="26"/>
      <x:c r="W680" s="26"/>
      <x:c r="X680" s="26"/>
      <x:c r="Y680" s="26"/>
      <x:c r="Z680" s="26"/>
      <x:c r="AA680" s="26"/>
      <x:c r="AB680" s="26"/>
      <x:c r="AC680" s="26"/>
      <x:c r="AD680" s="26"/>
      <x:c r="AE680" s="26"/>
      <x:c r="AF680" s="26"/>
      <x:c r="AG680" s="26"/>
      <x:c r="AH680" s="26"/>
      <x:c r="AI680" s="26"/>
      <x:c r="AJ680" s="26"/>
      <x:c r="AK680" s="26"/>
      <x:c r="AL680" s="26"/>
      <x:c r="AM680" s="26"/>
    </x:row>
    <x:row r="68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  <x:c r="R681" s="26"/>
      <x:c r="S681" s="26"/>
      <x:c r="T681" s="26"/>
      <x:c r="U681" s="26"/>
      <x:c r="V681" s="26"/>
      <x:c r="W681" s="26"/>
      <x:c r="X681" s="26"/>
      <x:c r="Y681" s="26"/>
      <x:c r="Z681" s="26"/>
      <x:c r="AA681" s="26"/>
      <x:c r="AB681" s="26"/>
      <x:c r="AC681" s="26"/>
      <x:c r="AD681" s="26"/>
      <x:c r="AE681" s="26"/>
      <x:c r="AF681" s="26"/>
      <x:c r="AG681" s="26"/>
      <x:c r="AH681" s="26"/>
      <x:c r="AI681" s="26"/>
      <x:c r="AJ681" s="26"/>
      <x:c r="AK681" s="26"/>
      <x:c r="AL681" s="26"/>
      <x:c r="AM681" s="26"/>
    </x:row>
    <x:row r="682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  <x:c r="R682" s="26"/>
      <x:c r="S682" s="26"/>
      <x:c r="T682" s="26"/>
      <x:c r="U682" s="26"/>
      <x:c r="V682" s="26"/>
      <x:c r="W682" s="26"/>
      <x:c r="X682" s="26"/>
      <x:c r="Y682" s="26"/>
      <x:c r="Z682" s="26"/>
      <x:c r="AA682" s="26"/>
      <x:c r="AB682" s="26"/>
      <x:c r="AC682" s="26"/>
      <x:c r="AD682" s="26"/>
      <x:c r="AE682" s="26"/>
      <x:c r="AF682" s="26"/>
      <x:c r="AG682" s="26"/>
      <x:c r="AH682" s="26"/>
      <x:c r="AI682" s="26"/>
      <x:c r="AJ682" s="26"/>
      <x:c r="AK682" s="26"/>
      <x:c r="AL682" s="26"/>
      <x:c r="AM682" s="26"/>
    </x:row>
    <x:row r="683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  <x:c r="R683" s="26"/>
      <x:c r="S683" s="26"/>
      <x:c r="T683" s="26"/>
      <x:c r="U683" s="26"/>
      <x:c r="V683" s="26"/>
      <x:c r="W683" s="26"/>
      <x:c r="X683" s="26"/>
      <x:c r="Y683" s="26"/>
      <x:c r="Z683" s="26"/>
      <x:c r="AA683" s="26"/>
      <x:c r="AB683" s="26"/>
      <x:c r="AC683" s="26"/>
      <x:c r="AD683" s="26"/>
      <x:c r="AE683" s="26"/>
      <x:c r="AF683" s="26"/>
      <x:c r="AG683" s="26"/>
      <x:c r="AH683" s="26"/>
      <x:c r="AI683" s="26"/>
      <x:c r="AJ683" s="26"/>
      <x:c r="AK683" s="26"/>
      <x:c r="AL683" s="26"/>
      <x:c r="AM683" s="26"/>
    </x:row>
    <x:row r="684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  <x:c r="R684" s="26"/>
      <x:c r="S684" s="26"/>
      <x:c r="T684" s="26"/>
      <x:c r="U684" s="26"/>
      <x:c r="V684" s="26"/>
      <x:c r="W684" s="26"/>
      <x:c r="X684" s="26"/>
      <x:c r="Y684" s="26"/>
      <x:c r="Z684" s="26"/>
      <x:c r="AA684" s="26"/>
      <x:c r="AB684" s="26"/>
      <x:c r="AC684" s="26"/>
      <x:c r="AD684" s="26"/>
      <x:c r="AE684" s="26"/>
      <x:c r="AF684" s="26"/>
      <x:c r="AG684" s="26"/>
      <x:c r="AH684" s="26"/>
      <x:c r="AI684" s="26"/>
      <x:c r="AJ684" s="26"/>
      <x:c r="AK684" s="26"/>
      <x:c r="AL684" s="26"/>
      <x:c r="AM684" s="26"/>
    </x:row>
    <x:row r="685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  <x:c r="R685" s="26"/>
      <x:c r="S685" s="26"/>
      <x:c r="T685" s="26"/>
      <x:c r="U685" s="26"/>
      <x:c r="V685" s="26"/>
      <x:c r="W685" s="26"/>
      <x:c r="X685" s="26"/>
      <x:c r="Y685" s="26"/>
      <x:c r="Z685" s="26"/>
      <x:c r="AA685" s="26"/>
      <x:c r="AB685" s="26"/>
      <x:c r="AC685" s="26"/>
      <x:c r="AD685" s="26"/>
      <x:c r="AE685" s="26"/>
      <x:c r="AF685" s="26"/>
      <x:c r="AG685" s="26"/>
      <x:c r="AH685" s="26"/>
      <x:c r="AI685" s="26"/>
      <x:c r="AJ685" s="26"/>
      <x:c r="AK685" s="26"/>
      <x:c r="AL685" s="26"/>
      <x:c r="AM685" s="26"/>
    </x:row>
    <x:row r="686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  <x:c r="R686" s="26"/>
      <x:c r="S686" s="26"/>
      <x:c r="T686" s="26"/>
      <x:c r="U686" s="26"/>
      <x:c r="V686" s="26"/>
      <x:c r="W686" s="26"/>
      <x:c r="X686" s="26"/>
      <x:c r="Y686" s="26"/>
      <x:c r="Z686" s="26"/>
      <x:c r="AA686" s="26"/>
      <x:c r="AB686" s="26"/>
      <x:c r="AC686" s="26"/>
      <x:c r="AD686" s="26"/>
      <x:c r="AE686" s="26"/>
      <x:c r="AF686" s="26"/>
      <x:c r="AG686" s="26"/>
      <x:c r="AH686" s="26"/>
      <x:c r="AI686" s="26"/>
      <x:c r="AJ686" s="26"/>
      <x:c r="AK686" s="26"/>
      <x:c r="AL686" s="26"/>
      <x:c r="AM686" s="26"/>
    </x:row>
    <x:row r="687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  <x:c r="R687" s="26"/>
      <x:c r="S687" s="26"/>
      <x:c r="T687" s="26"/>
      <x:c r="U687" s="26"/>
      <x:c r="V687" s="26"/>
      <x:c r="W687" s="26"/>
      <x:c r="X687" s="26"/>
      <x:c r="Y687" s="26"/>
      <x:c r="Z687" s="26"/>
      <x:c r="AA687" s="26"/>
      <x:c r="AB687" s="26"/>
      <x:c r="AC687" s="26"/>
      <x:c r="AD687" s="26"/>
      <x:c r="AE687" s="26"/>
      <x:c r="AF687" s="26"/>
      <x:c r="AG687" s="26"/>
      <x:c r="AH687" s="26"/>
      <x:c r="AI687" s="26"/>
      <x:c r="AJ687" s="26"/>
      <x:c r="AK687" s="26"/>
      <x:c r="AL687" s="26"/>
      <x:c r="AM687" s="26"/>
    </x:row>
    <x:row r="688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  <x:c r="R688" s="26"/>
      <x:c r="S688" s="26"/>
      <x:c r="T688" s="26"/>
      <x:c r="U688" s="26"/>
      <x:c r="V688" s="26"/>
      <x:c r="W688" s="26"/>
      <x:c r="X688" s="26"/>
      <x:c r="Y688" s="26"/>
      <x:c r="Z688" s="26"/>
      <x:c r="AA688" s="26"/>
      <x:c r="AB688" s="26"/>
      <x:c r="AC688" s="26"/>
      <x:c r="AD688" s="26"/>
      <x:c r="AE688" s="26"/>
      <x:c r="AF688" s="26"/>
      <x:c r="AG688" s="26"/>
      <x:c r="AH688" s="26"/>
      <x:c r="AI688" s="26"/>
      <x:c r="AJ688" s="26"/>
      <x:c r="AK688" s="26"/>
      <x:c r="AL688" s="26"/>
      <x:c r="AM688" s="26"/>
    </x:row>
    <x:row r="689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  <x:c r="R689" s="26"/>
      <x:c r="S689" s="26"/>
      <x:c r="T689" s="26"/>
      <x:c r="U689" s="26"/>
      <x:c r="V689" s="26"/>
      <x:c r="W689" s="26"/>
      <x:c r="X689" s="26"/>
      <x:c r="Y689" s="26"/>
      <x:c r="Z689" s="26"/>
      <x:c r="AA689" s="26"/>
      <x:c r="AB689" s="26"/>
      <x:c r="AC689" s="26"/>
      <x:c r="AD689" s="26"/>
      <x:c r="AE689" s="26"/>
      <x:c r="AF689" s="26"/>
      <x:c r="AG689" s="26"/>
      <x:c r="AH689" s="26"/>
      <x:c r="AI689" s="26"/>
      <x:c r="AJ689" s="26"/>
      <x:c r="AK689" s="26"/>
      <x:c r="AL689" s="26"/>
      <x:c r="AM689" s="26"/>
    </x:row>
    <x:row r="690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  <x:c r="R690" s="26"/>
      <x:c r="S690" s="26"/>
      <x:c r="T690" s="26"/>
      <x:c r="U690" s="26"/>
      <x:c r="V690" s="26"/>
      <x:c r="W690" s="26"/>
      <x:c r="X690" s="26"/>
      <x:c r="Y690" s="26"/>
      <x:c r="Z690" s="26"/>
      <x:c r="AA690" s="26"/>
      <x:c r="AB690" s="26"/>
      <x:c r="AC690" s="26"/>
      <x:c r="AD690" s="26"/>
      <x:c r="AE690" s="26"/>
      <x:c r="AF690" s="26"/>
      <x:c r="AG690" s="26"/>
      <x:c r="AH690" s="26"/>
      <x:c r="AI690" s="26"/>
      <x:c r="AJ690" s="26"/>
      <x:c r="AK690" s="26"/>
      <x:c r="AL690" s="26"/>
      <x:c r="AM690" s="26"/>
    </x:row>
    <x:row r="69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  <x:c r="R691" s="26"/>
      <x:c r="S691" s="26"/>
      <x:c r="T691" s="26"/>
      <x:c r="U691" s="26"/>
      <x:c r="V691" s="26"/>
      <x:c r="W691" s="26"/>
      <x:c r="X691" s="26"/>
      <x:c r="Y691" s="26"/>
      <x:c r="Z691" s="26"/>
      <x:c r="AA691" s="26"/>
      <x:c r="AB691" s="26"/>
      <x:c r="AC691" s="26"/>
      <x:c r="AD691" s="26"/>
      <x:c r="AE691" s="26"/>
      <x:c r="AF691" s="26"/>
      <x:c r="AG691" s="26"/>
      <x:c r="AH691" s="26"/>
      <x:c r="AI691" s="26"/>
      <x:c r="AJ691" s="26"/>
      <x:c r="AK691" s="26"/>
      <x:c r="AL691" s="26"/>
      <x:c r="AM691" s="26"/>
    </x:row>
    <x:row r="692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  <x:c r="R692" s="26"/>
      <x:c r="S692" s="26"/>
      <x:c r="T692" s="26"/>
      <x:c r="U692" s="26"/>
      <x:c r="V692" s="26"/>
      <x:c r="W692" s="26"/>
      <x:c r="X692" s="26"/>
      <x:c r="Y692" s="26"/>
      <x:c r="Z692" s="26"/>
      <x:c r="AA692" s="26"/>
      <x:c r="AB692" s="26"/>
      <x:c r="AC692" s="26"/>
      <x:c r="AD692" s="26"/>
      <x:c r="AE692" s="26"/>
      <x:c r="AF692" s="26"/>
      <x:c r="AG692" s="26"/>
      <x:c r="AH692" s="26"/>
      <x:c r="AI692" s="26"/>
      <x:c r="AJ692" s="26"/>
      <x:c r="AK692" s="26"/>
      <x:c r="AL692" s="26"/>
      <x:c r="AM692" s="26"/>
    </x:row>
    <x:row r="693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  <x:c r="R693" s="26"/>
      <x:c r="S693" s="26"/>
      <x:c r="T693" s="26"/>
      <x:c r="U693" s="26"/>
      <x:c r="V693" s="26"/>
      <x:c r="W693" s="26"/>
      <x:c r="X693" s="26"/>
      <x:c r="Y693" s="26"/>
      <x:c r="Z693" s="26"/>
      <x:c r="AA693" s="26"/>
      <x:c r="AB693" s="26"/>
      <x:c r="AC693" s="26"/>
      <x:c r="AD693" s="26"/>
      <x:c r="AE693" s="26"/>
      <x:c r="AF693" s="26"/>
      <x:c r="AG693" s="26"/>
      <x:c r="AH693" s="26"/>
      <x:c r="AI693" s="26"/>
      <x:c r="AJ693" s="26"/>
      <x:c r="AK693" s="26"/>
      <x:c r="AL693" s="26"/>
      <x:c r="AM693" s="26"/>
    </x:row>
    <x:row r="694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  <x:c r="R694" s="26"/>
      <x:c r="S694" s="26"/>
      <x:c r="T694" s="26"/>
      <x:c r="U694" s="26"/>
      <x:c r="V694" s="26"/>
      <x:c r="W694" s="26"/>
      <x:c r="X694" s="26"/>
      <x:c r="Y694" s="26"/>
      <x:c r="Z694" s="26"/>
      <x:c r="AA694" s="26"/>
      <x:c r="AB694" s="26"/>
      <x:c r="AC694" s="26"/>
      <x:c r="AD694" s="26"/>
      <x:c r="AE694" s="26"/>
      <x:c r="AF694" s="26"/>
      <x:c r="AG694" s="26"/>
      <x:c r="AH694" s="26"/>
      <x:c r="AI694" s="26"/>
      <x:c r="AJ694" s="26"/>
      <x:c r="AK694" s="26"/>
      <x:c r="AL694" s="26"/>
      <x:c r="AM694" s="26"/>
    </x:row>
    <x:row r="695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  <x:c r="R695" s="26"/>
      <x:c r="S695" s="26"/>
      <x:c r="T695" s="26"/>
      <x:c r="U695" s="26"/>
      <x:c r="V695" s="26"/>
      <x:c r="W695" s="26"/>
      <x:c r="X695" s="26"/>
      <x:c r="Y695" s="26"/>
      <x:c r="Z695" s="26"/>
      <x:c r="AA695" s="26"/>
      <x:c r="AB695" s="26"/>
      <x:c r="AC695" s="26"/>
      <x:c r="AD695" s="26"/>
      <x:c r="AE695" s="26"/>
      <x:c r="AF695" s="26"/>
      <x:c r="AG695" s="26"/>
      <x:c r="AH695" s="26"/>
      <x:c r="AI695" s="26"/>
      <x:c r="AJ695" s="26"/>
      <x:c r="AK695" s="26"/>
      <x:c r="AL695" s="26"/>
      <x:c r="AM695" s="26"/>
    </x:row>
    <x:row r="696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  <x:c r="R696" s="26"/>
      <x:c r="S696" s="26"/>
      <x:c r="T696" s="26"/>
      <x:c r="U696" s="26"/>
      <x:c r="V696" s="26"/>
      <x:c r="W696" s="26"/>
      <x:c r="X696" s="26"/>
      <x:c r="Y696" s="26"/>
      <x:c r="Z696" s="26"/>
      <x:c r="AA696" s="26"/>
      <x:c r="AB696" s="26"/>
      <x:c r="AC696" s="26"/>
      <x:c r="AD696" s="26"/>
      <x:c r="AE696" s="26"/>
      <x:c r="AF696" s="26"/>
      <x:c r="AG696" s="26"/>
      <x:c r="AH696" s="26"/>
      <x:c r="AI696" s="26"/>
      <x:c r="AJ696" s="26"/>
      <x:c r="AK696" s="26"/>
      <x:c r="AL696" s="26"/>
      <x:c r="AM696" s="26"/>
    </x:row>
    <x:row r="697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  <x:c r="R697" s="26"/>
      <x:c r="S697" s="26"/>
      <x:c r="T697" s="26"/>
      <x:c r="U697" s="26"/>
      <x:c r="V697" s="26"/>
      <x:c r="W697" s="26"/>
      <x:c r="X697" s="26"/>
      <x:c r="Y697" s="26"/>
      <x:c r="Z697" s="26"/>
      <x:c r="AA697" s="26"/>
      <x:c r="AB697" s="26"/>
      <x:c r="AC697" s="26"/>
      <x:c r="AD697" s="26"/>
      <x:c r="AE697" s="26"/>
      <x:c r="AF697" s="26"/>
      <x:c r="AG697" s="26"/>
      <x:c r="AH697" s="26"/>
      <x:c r="AI697" s="26"/>
      <x:c r="AJ697" s="26"/>
      <x:c r="AK697" s="26"/>
      <x:c r="AL697" s="26"/>
      <x:c r="AM697" s="26"/>
    </x:row>
    <x:row r="698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  <x:c r="R698" s="26"/>
      <x:c r="S698" s="26"/>
      <x:c r="T698" s="26"/>
      <x:c r="U698" s="26"/>
      <x:c r="V698" s="26"/>
      <x:c r="W698" s="26"/>
      <x:c r="X698" s="26"/>
      <x:c r="Y698" s="26"/>
      <x:c r="Z698" s="26"/>
      <x:c r="AA698" s="26"/>
      <x:c r="AB698" s="26"/>
      <x:c r="AC698" s="26"/>
      <x:c r="AD698" s="26"/>
      <x:c r="AE698" s="26"/>
      <x:c r="AF698" s="26"/>
      <x:c r="AG698" s="26"/>
      <x:c r="AH698" s="26"/>
      <x:c r="AI698" s="26"/>
      <x:c r="AJ698" s="26"/>
      <x:c r="AK698" s="26"/>
      <x:c r="AL698" s="26"/>
      <x:c r="AM698" s="26"/>
    </x:row>
    <x:row r="699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  <x:c r="R699" s="26"/>
      <x:c r="S699" s="26"/>
      <x:c r="T699" s="26"/>
      <x:c r="U699" s="26"/>
      <x:c r="V699" s="26"/>
      <x:c r="W699" s="26"/>
      <x:c r="X699" s="26"/>
      <x:c r="Y699" s="26"/>
      <x:c r="Z699" s="26"/>
      <x:c r="AA699" s="26"/>
      <x:c r="AB699" s="26"/>
      <x:c r="AC699" s="26"/>
      <x:c r="AD699" s="26"/>
      <x:c r="AE699" s="26"/>
      <x:c r="AF699" s="26"/>
      <x:c r="AG699" s="26"/>
      <x:c r="AH699" s="26"/>
      <x:c r="AI699" s="26"/>
      <x:c r="AJ699" s="26"/>
      <x:c r="AK699" s="26"/>
      <x:c r="AL699" s="26"/>
      <x:c r="AM699" s="26"/>
    </x:row>
    <x:row r="700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  <x:c r="R700" s="26"/>
      <x:c r="S700" s="26"/>
      <x:c r="T700" s="26"/>
      <x:c r="U700" s="26"/>
      <x:c r="V700" s="26"/>
      <x:c r="W700" s="26"/>
      <x:c r="X700" s="26"/>
      <x:c r="Y700" s="26"/>
      <x:c r="Z700" s="26"/>
      <x:c r="AA700" s="26"/>
      <x:c r="AB700" s="26"/>
      <x:c r="AC700" s="26"/>
      <x:c r="AD700" s="26"/>
      <x:c r="AE700" s="26"/>
      <x:c r="AF700" s="26"/>
      <x:c r="AG700" s="26"/>
      <x:c r="AH700" s="26"/>
      <x:c r="AI700" s="26"/>
      <x:c r="AJ700" s="26"/>
      <x:c r="AK700" s="26"/>
      <x:c r="AL700" s="26"/>
      <x:c r="AM700" s="26"/>
    </x:row>
    <x:row r="70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  <x:c r="R701" s="26"/>
      <x:c r="S701" s="26"/>
      <x:c r="T701" s="26"/>
      <x:c r="U701" s="26"/>
      <x:c r="V701" s="26"/>
      <x:c r="W701" s="26"/>
      <x:c r="X701" s="26"/>
      <x:c r="Y701" s="26"/>
      <x:c r="Z701" s="26"/>
      <x:c r="AA701" s="26"/>
      <x:c r="AB701" s="26"/>
      <x:c r="AC701" s="26"/>
      <x:c r="AD701" s="26"/>
      <x:c r="AE701" s="26"/>
      <x:c r="AF701" s="26"/>
      <x:c r="AG701" s="26"/>
      <x:c r="AH701" s="26"/>
      <x:c r="AI701" s="26"/>
      <x:c r="AJ701" s="26"/>
      <x:c r="AK701" s="26"/>
      <x:c r="AL701" s="26"/>
      <x:c r="AM701" s="26"/>
    </x:row>
    <x:row r="702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  <x:c r="R702" s="26"/>
      <x:c r="S702" s="26"/>
      <x:c r="T702" s="26"/>
      <x:c r="U702" s="26"/>
      <x:c r="V702" s="26"/>
      <x:c r="W702" s="26"/>
      <x:c r="X702" s="26"/>
      <x:c r="Y702" s="26"/>
      <x:c r="Z702" s="26"/>
      <x:c r="AA702" s="26"/>
      <x:c r="AB702" s="26"/>
      <x:c r="AC702" s="26"/>
      <x:c r="AD702" s="26"/>
      <x:c r="AE702" s="26"/>
      <x:c r="AF702" s="26"/>
      <x:c r="AG702" s="26"/>
      <x:c r="AH702" s="26"/>
      <x:c r="AI702" s="26"/>
      <x:c r="AJ702" s="26"/>
      <x:c r="AK702" s="26"/>
      <x:c r="AL702" s="26"/>
      <x:c r="AM702" s="26"/>
    </x:row>
    <x:row r="703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  <x:c r="R703" s="26"/>
      <x:c r="S703" s="26"/>
      <x:c r="T703" s="26"/>
      <x:c r="U703" s="26"/>
      <x:c r="V703" s="26"/>
      <x:c r="W703" s="26"/>
      <x:c r="X703" s="26"/>
      <x:c r="Y703" s="26"/>
      <x:c r="Z703" s="26"/>
      <x:c r="AA703" s="26"/>
      <x:c r="AB703" s="26"/>
      <x:c r="AC703" s="26"/>
      <x:c r="AD703" s="26"/>
      <x:c r="AE703" s="26"/>
      <x:c r="AF703" s="26"/>
      <x:c r="AG703" s="26"/>
      <x:c r="AH703" s="26"/>
      <x:c r="AI703" s="26"/>
      <x:c r="AJ703" s="26"/>
      <x:c r="AK703" s="26"/>
      <x:c r="AL703" s="26"/>
      <x:c r="AM703" s="26"/>
    </x:row>
    <x:row r="704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  <x:c r="R704" s="26"/>
      <x:c r="S704" s="26"/>
      <x:c r="T704" s="26"/>
      <x:c r="U704" s="26"/>
      <x:c r="V704" s="26"/>
      <x:c r="W704" s="26"/>
      <x:c r="X704" s="26"/>
      <x:c r="Y704" s="26"/>
      <x:c r="Z704" s="26"/>
      <x:c r="AA704" s="26"/>
      <x:c r="AB704" s="26"/>
      <x:c r="AC704" s="26"/>
      <x:c r="AD704" s="26"/>
      <x:c r="AE704" s="26"/>
      <x:c r="AF704" s="26"/>
      <x:c r="AG704" s="26"/>
      <x:c r="AH704" s="26"/>
      <x:c r="AI704" s="26"/>
      <x:c r="AJ704" s="26"/>
      <x:c r="AK704" s="26"/>
      <x:c r="AL704" s="26"/>
      <x:c r="AM704" s="26"/>
    </x:row>
    <x:row r="705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  <x:c r="R705" s="26"/>
      <x:c r="S705" s="26"/>
      <x:c r="T705" s="26"/>
      <x:c r="U705" s="26"/>
      <x:c r="V705" s="26"/>
      <x:c r="W705" s="26"/>
      <x:c r="X705" s="26"/>
      <x:c r="Y705" s="26"/>
      <x:c r="Z705" s="26"/>
      <x:c r="AA705" s="26"/>
      <x:c r="AB705" s="26"/>
      <x:c r="AC705" s="26"/>
      <x:c r="AD705" s="26"/>
      <x:c r="AE705" s="26"/>
      <x:c r="AF705" s="26"/>
      <x:c r="AG705" s="26"/>
      <x:c r="AH705" s="26"/>
      <x:c r="AI705" s="26"/>
      <x:c r="AJ705" s="26"/>
      <x:c r="AK705" s="26"/>
      <x:c r="AL705" s="26"/>
      <x:c r="AM705" s="26"/>
    </x:row>
    <x:row r="706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  <x:c r="R706" s="26"/>
      <x:c r="S706" s="26"/>
      <x:c r="T706" s="26"/>
      <x:c r="U706" s="26"/>
      <x:c r="V706" s="26"/>
      <x:c r="W706" s="26"/>
      <x:c r="X706" s="26"/>
      <x:c r="Y706" s="26"/>
      <x:c r="Z706" s="26"/>
      <x:c r="AA706" s="26"/>
      <x:c r="AB706" s="26"/>
      <x:c r="AC706" s="26"/>
      <x:c r="AD706" s="26"/>
      <x:c r="AE706" s="26"/>
      <x:c r="AF706" s="26"/>
      <x:c r="AG706" s="26"/>
      <x:c r="AH706" s="26"/>
      <x:c r="AI706" s="26"/>
      <x:c r="AJ706" s="26"/>
      <x:c r="AK706" s="26"/>
      <x:c r="AL706" s="26"/>
      <x:c r="AM706" s="26"/>
    </x:row>
    <x:row r="707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  <x:c r="R707" s="26"/>
      <x:c r="S707" s="26"/>
      <x:c r="T707" s="26"/>
      <x:c r="U707" s="26"/>
      <x:c r="V707" s="26"/>
      <x:c r="W707" s="26"/>
      <x:c r="X707" s="26"/>
      <x:c r="Y707" s="26"/>
      <x:c r="Z707" s="26"/>
      <x:c r="AA707" s="26"/>
      <x:c r="AB707" s="26"/>
      <x:c r="AC707" s="26"/>
      <x:c r="AD707" s="26"/>
      <x:c r="AE707" s="26"/>
      <x:c r="AF707" s="26"/>
      <x:c r="AG707" s="26"/>
      <x:c r="AH707" s="26"/>
      <x:c r="AI707" s="26"/>
      <x:c r="AJ707" s="26"/>
      <x:c r="AK707" s="26"/>
      <x:c r="AL707" s="26"/>
      <x:c r="AM707" s="26"/>
    </x:row>
    <x:row r="708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  <x:c r="R708" s="26"/>
      <x:c r="S708" s="26"/>
      <x:c r="T708" s="26"/>
      <x:c r="U708" s="26"/>
      <x:c r="V708" s="26"/>
      <x:c r="W708" s="26"/>
      <x:c r="X708" s="26"/>
      <x:c r="Y708" s="26"/>
      <x:c r="Z708" s="26"/>
      <x:c r="AA708" s="26"/>
      <x:c r="AB708" s="26"/>
      <x:c r="AC708" s="26"/>
      <x:c r="AD708" s="26"/>
      <x:c r="AE708" s="26"/>
      <x:c r="AF708" s="26"/>
      <x:c r="AG708" s="26"/>
      <x:c r="AH708" s="26"/>
      <x:c r="AI708" s="26"/>
      <x:c r="AJ708" s="26"/>
      <x:c r="AK708" s="26"/>
      <x:c r="AL708" s="26"/>
      <x:c r="AM708" s="26"/>
    </x:row>
    <x:row r="709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  <x:c r="R709" s="26"/>
      <x:c r="S709" s="26"/>
      <x:c r="T709" s="26"/>
      <x:c r="U709" s="26"/>
      <x:c r="V709" s="26"/>
      <x:c r="W709" s="26"/>
      <x:c r="X709" s="26"/>
      <x:c r="Y709" s="26"/>
      <x:c r="Z709" s="26"/>
      <x:c r="AA709" s="26"/>
      <x:c r="AB709" s="26"/>
      <x:c r="AC709" s="26"/>
      <x:c r="AD709" s="26"/>
      <x:c r="AE709" s="26"/>
      <x:c r="AF709" s="26"/>
      <x:c r="AG709" s="26"/>
      <x:c r="AH709" s="26"/>
      <x:c r="AI709" s="26"/>
      <x:c r="AJ709" s="26"/>
      <x:c r="AK709" s="26"/>
      <x:c r="AL709" s="26"/>
      <x:c r="AM709" s="26"/>
    </x:row>
    <x:row r="710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  <x:c r="R710" s="26"/>
      <x:c r="S710" s="26"/>
      <x:c r="T710" s="26"/>
      <x:c r="U710" s="26"/>
      <x:c r="V710" s="26"/>
      <x:c r="W710" s="26"/>
      <x:c r="X710" s="26"/>
      <x:c r="Y710" s="26"/>
      <x:c r="Z710" s="26"/>
      <x:c r="AA710" s="26"/>
      <x:c r="AB710" s="26"/>
      <x:c r="AC710" s="26"/>
      <x:c r="AD710" s="26"/>
      <x:c r="AE710" s="26"/>
      <x:c r="AF710" s="26"/>
      <x:c r="AG710" s="26"/>
      <x:c r="AH710" s="26"/>
      <x:c r="AI710" s="26"/>
      <x:c r="AJ710" s="26"/>
      <x:c r="AK710" s="26"/>
      <x:c r="AL710" s="26"/>
      <x:c r="AM710" s="26"/>
    </x:row>
    <x:row r="71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  <x:c r="R711" s="26"/>
      <x:c r="S711" s="26"/>
      <x:c r="T711" s="26"/>
      <x:c r="U711" s="26"/>
      <x:c r="V711" s="26"/>
      <x:c r="W711" s="26"/>
      <x:c r="X711" s="26"/>
      <x:c r="Y711" s="26"/>
      <x:c r="Z711" s="26"/>
      <x:c r="AA711" s="26"/>
      <x:c r="AB711" s="26"/>
      <x:c r="AC711" s="26"/>
      <x:c r="AD711" s="26"/>
      <x:c r="AE711" s="26"/>
      <x:c r="AF711" s="26"/>
      <x:c r="AG711" s="26"/>
      <x:c r="AH711" s="26"/>
      <x:c r="AI711" s="26"/>
      <x:c r="AJ711" s="26"/>
      <x:c r="AK711" s="26"/>
      <x:c r="AL711" s="26"/>
      <x:c r="AM711" s="26"/>
    </x:row>
    <x:row r="712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  <x:c r="R712" s="26"/>
      <x:c r="S712" s="26"/>
      <x:c r="T712" s="26"/>
      <x:c r="U712" s="26"/>
      <x:c r="V712" s="26"/>
      <x:c r="W712" s="26"/>
      <x:c r="X712" s="26"/>
      <x:c r="Y712" s="26"/>
      <x:c r="Z712" s="26"/>
      <x:c r="AA712" s="26"/>
      <x:c r="AB712" s="26"/>
      <x:c r="AC712" s="26"/>
      <x:c r="AD712" s="26"/>
      <x:c r="AE712" s="26"/>
      <x:c r="AF712" s="26"/>
      <x:c r="AG712" s="26"/>
      <x:c r="AH712" s="26"/>
      <x:c r="AI712" s="26"/>
      <x:c r="AJ712" s="26"/>
      <x:c r="AK712" s="26"/>
      <x:c r="AL712" s="26"/>
      <x:c r="AM712" s="26"/>
    </x:row>
    <x:row r="713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  <x:c r="R713" s="26"/>
      <x:c r="S713" s="26"/>
      <x:c r="T713" s="26"/>
      <x:c r="U713" s="26"/>
      <x:c r="V713" s="26"/>
      <x:c r="W713" s="26"/>
      <x:c r="X713" s="26"/>
      <x:c r="Y713" s="26"/>
      <x:c r="Z713" s="26"/>
      <x:c r="AA713" s="26"/>
      <x:c r="AB713" s="26"/>
      <x:c r="AC713" s="26"/>
      <x:c r="AD713" s="26"/>
      <x:c r="AE713" s="26"/>
      <x:c r="AF713" s="26"/>
      <x:c r="AG713" s="26"/>
      <x:c r="AH713" s="26"/>
      <x:c r="AI713" s="26"/>
      <x:c r="AJ713" s="26"/>
      <x:c r="AK713" s="26"/>
      <x:c r="AL713" s="26"/>
      <x:c r="AM713" s="26"/>
    </x:row>
    <x:row r="714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  <x:c r="R714" s="26"/>
      <x:c r="S714" s="26"/>
      <x:c r="T714" s="26"/>
      <x:c r="U714" s="26"/>
      <x:c r="V714" s="26"/>
      <x:c r="W714" s="26"/>
      <x:c r="X714" s="26"/>
      <x:c r="Y714" s="26"/>
      <x:c r="Z714" s="26"/>
      <x:c r="AA714" s="26"/>
      <x:c r="AB714" s="26"/>
      <x:c r="AC714" s="26"/>
      <x:c r="AD714" s="26"/>
      <x:c r="AE714" s="26"/>
      <x:c r="AF714" s="26"/>
      <x:c r="AG714" s="26"/>
      <x:c r="AH714" s="26"/>
      <x:c r="AI714" s="26"/>
      <x:c r="AJ714" s="26"/>
      <x:c r="AK714" s="26"/>
      <x:c r="AL714" s="26"/>
      <x:c r="AM714" s="26"/>
    </x:row>
    <x:row r="715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  <x:c r="R715" s="26"/>
      <x:c r="S715" s="26"/>
      <x:c r="T715" s="26"/>
      <x:c r="U715" s="26"/>
      <x:c r="V715" s="26"/>
      <x:c r="W715" s="26"/>
      <x:c r="X715" s="26"/>
      <x:c r="Y715" s="26"/>
      <x:c r="Z715" s="26"/>
      <x:c r="AA715" s="26"/>
      <x:c r="AB715" s="26"/>
      <x:c r="AC715" s="26"/>
      <x:c r="AD715" s="26"/>
      <x:c r="AE715" s="26"/>
      <x:c r="AF715" s="26"/>
      <x:c r="AG715" s="26"/>
      <x:c r="AH715" s="26"/>
      <x:c r="AI715" s="26"/>
      <x:c r="AJ715" s="26"/>
      <x:c r="AK715" s="26"/>
      <x:c r="AL715" s="26"/>
      <x:c r="AM715" s="26"/>
    </x:row>
    <x:row r="716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  <x:c r="R716" s="26"/>
      <x:c r="S716" s="26"/>
      <x:c r="T716" s="26"/>
      <x:c r="U716" s="26"/>
      <x:c r="V716" s="26"/>
      <x:c r="W716" s="26"/>
      <x:c r="X716" s="26"/>
      <x:c r="Y716" s="26"/>
      <x:c r="Z716" s="26"/>
      <x:c r="AA716" s="26"/>
      <x:c r="AB716" s="26"/>
      <x:c r="AC716" s="26"/>
      <x:c r="AD716" s="26"/>
      <x:c r="AE716" s="26"/>
      <x:c r="AF716" s="26"/>
      <x:c r="AG716" s="26"/>
      <x:c r="AH716" s="26"/>
      <x:c r="AI716" s="26"/>
      <x:c r="AJ716" s="26"/>
      <x:c r="AK716" s="26"/>
      <x:c r="AL716" s="26"/>
      <x:c r="AM716" s="26"/>
    </x:row>
    <x:row r="717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  <x:c r="R717" s="26"/>
      <x:c r="S717" s="26"/>
      <x:c r="T717" s="26"/>
      <x:c r="U717" s="26"/>
      <x:c r="V717" s="26"/>
      <x:c r="W717" s="26"/>
      <x:c r="X717" s="26"/>
      <x:c r="Y717" s="26"/>
      <x:c r="Z717" s="26"/>
      <x:c r="AA717" s="26"/>
      <x:c r="AB717" s="26"/>
      <x:c r="AC717" s="26"/>
      <x:c r="AD717" s="26"/>
      <x:c r="AE717" s="26"/>
      <x:c r="AF717" s="26"/>
      <x:c r="AG717" s="26"/>
      <x:c r="AH717" s="26"/>
      <x:c r="AI717" s="26"/>
      <x:c r="AJ717" s="26"/>
      <x:c r="AK717" s="26"/>
      <x:c r="AL717" s="26"/>
      <x:c r="AM717" s="26"/>
    </x:row>
    <x:row r="718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  <x:c r="R718" s="26"/>
      <x:c r="S718" s="26"/>
      <x:c r="T718" s="26"/>
      <x:c r="U718" s="26"/>
      <x:c r="V718" s="26"/>
      <x:c r="W718" s="26"/>
      <x:c r="X718" s="26"/>
      <x:c r="Y718" s="26"/>
      <x:c r="Z718" s="26"/>
      <x:c r="AA718" s="26"/>
      <x:c r="AB718" s="26"/>
      <x:c r="AC718" s="26"/>
      <x:c r="AD718" s="26"/>
      <x:c r="AE718" s="26"/>
      <x:c r="AF718" s="26"/>
      <x:c r="AG718" s="26"/>
      <x:c r="AH718" s="26"/>
      <x:c r="AI718" s="26"/>
      <x:c r="AJ718" s="26"/>
      <x:c r="AK718" s="26"/>
      <x:c r="AL718" s="26"/>
      <x:c r="AM718" s="26"/>
    </x:row>
    <x:row r="719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  <x:c r="R719" s="26"/>
      <x:c r="S719" s="26"/>
      <x:c r="T719" s="26"/>
      <x:c r="U719" s="26"/>
      <x:c r="V719" s="26"/>
      <x:c r="W719" s="26"/>
      <x:c r="X719" s="26"/>
      <x:c r="Y719" s="26"/>
      <x:c r="Z719" s="26"/>
      <x:c r="AA719" s="26"/>
      <x:c r="AB719" s="26"/>
      <x:c r="AC719" s="26"/>
      <x:c r="AD719" s="26"/>
      <x:c r="AE719" s="26"/>
      <x:c r="AF719" s="26"/>
      <x:c r="AG719" s="26"/>
      <x:c r="AH719" s="26"/>
      <x:c r="AI719" s="26"/>
      <x:c r="AJ719" s="26"/>
      <x:c r="AK719" s="26"/>
      <x:c r="AL719" s="26"/>
      <x:c r="AM719" s="26"/>
    </x:row>
    <x:row r="720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  <x:c r="R720" s="26"/>
      <x:c r="S720" s="26"/>
      <x:c r="T720" s="26"/>
      <x:c r="U720" s="26"/>
      <x:c r="V720" s="26"/>
      <x:c r="W720" s="26"/>
      <x:c r="X720" s="26"/>
      <x:c r="Y720" s="26"/>
      <x:c r="Z720" s="26"/>
      <x:c r="AA720" s="26"/>
      <x:c r="AB720" s="26"/>
      <x:c r="AC720" s="26"/>
      <x:c r="AD720" s="26"/>
      <x:c r="AE720" s="26"/>
      <x:c r="AF720" s="26"/>
      <x:c r="AG720" s="26"/>
      <x:c r="AH720" s="26"/>
      <x:c r="AI720" s="26"/>
      <x:c r="AJ720" s="26"/>
      <x:c r="AK720" s="26"/>
      <x:c r="AL720" s="26"/>
      <x:c r="AM720" s="26"/>
    </x:row>
    <x:row r="72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  <x:c r="R721" s="26"/>
      <x:c r="S721" s="26"/>
      <x:c r="T721" s="26"/>
      <x:c r="U721" s="26"/>
      <x:c r="V721" s="26"/>
      <x:c r="W721" s="26"/>
      <x:c r="X721" s="26"/>
      <x:c r="Y721" s="26"/>
      <x:c r="Z721" s="26"/>
      <x:c r="AA721" s="26"/>
      <x:c r="AB721" s="26"/>
      <x:c r="AC721" s="26"/>
      <x:c r="AD721" s="26"/>
      <x:c r="AE721" s="26"/>
      <x:c r="AF721" s="26"/>
      <x:c r="AG721" s="26"/>
      <x:c r="AH721" s="26"/>
      <x:c r="AI721" s="26"/>
      <x:c r="AJ721" s="26"/>
      <x:c r="AK721" s="26"/>
      <x:c r="AL721" s="26"/>
      <x:c r="AM721" s="26"/>
    </x:row>
    <x:row r="722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  <x:c r="R722" s="26"/>
      <x:c r="S722" s="26"/>
      <x:c r="T722" s="26"/>
      <x:c r="U722" s="26"/>
      <x:c r="V722" s="26"/>
      <x:c r="W722" s="26"/>
      <x:c r="X722" s="26"/>
      <x:c r="Y722" s="26"/>
      <x:c r="Z722" s="26"/>
      <x:c r="AA722" s="26"/>
      <x:c r="AB722" s="26"/>
      <x:c r="AC722" s="26"/>
      <x:c r="AD722" s="26"/>
      <x:c r="AE722" s="26"/>
      <x:c r="AF722" s="26"/>
      <x:c r="AG722" s="26"/>
      <x:c r="AH722" s="26"/>
      <x:c r="AI722" s="26"/>
      <x:c r="AJ722" s="26"/>
      <x:c r="AK722" s="26"/>
      <x:c r="AL722" s="26"/>
      <x:c r="AM722" s="26"/>
    </x:row>
    <x:row r="723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  <x:c r="R723" s="26"/>
      <x:c r="S723" s="26"/>
      <x:c r="T723" s="26"/>
      <x:c r="U723" s="26"/>
      <x:c r="V723" s="26"/>
      <x:c r="W723" s="26"/>
      <x:c r="X723" s="26"/>
      <x:c r="Y723" s="26"/>
      <x:c r="Z723" s="26"/>
      <x:c r="AA723" s="26"/>
      <x:c r="AB723" s="26"/>
      <x:c r="AC723" s="26"/>
      <x:c r="AD723" s="26"/>
      <x:c r="AE723" s="26"/>
      <x:c r="AF723" s="26"/>
      <x:c r="AG723" s="26"/>
      <x:c r="AH723" s="26"/>
      <x:c r="AI723" s="26"/>
      <x:c r="AJ723" s="26"/>
      <x:c r="AK723" s="26"/>
      <x:c r="AL723" s="26"/>
      <x:c r="AM723" s="26"/>
    </x:row>
    <x:row r="724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  <x:c r="R724" s="26"/>
      <x:c r="S724" s="26"/>
      <x:c r="T724" s="26"/>
      <x:c r="U724" s="26"/>
      <x:c r="V724" s="26"/>
      <x:c r="W724" s="26"/>
      <x:c r="X724" s="26"/>
      <x:c r="Y724" s="26"/>
      <x:c r="Z724" s="26"/>
      <x:c r="AA724" s="26"/>
      <x:c r="AB724" s="26"/>
      <x:c r="AC724" s="26"/>
      <x:c r="AD724" s="26"/>
      <x:c r="AE724" s="26"/>
      <x:c r="AF724" s="26"/>
      <x:c r="AG724" s="26"/>
      <x:c r="AH724" s="26"/>
      <x:c r="AI724" s="26"/>
      <x:c r="AJ724" s="26"/>
      <x:c r="AK724" s="26"/>
      <x:c r="AL724" s="26"/>
      <x:c r="AM724" s="26"/>
    </x:row>
    <x:row r="725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  <x:c r="R725" s="26"/>
      <x:c r="S725" s="26"/>
      <x:c r="T725" s="26"/>
      <x:c r="U725" s="26"/>
      <x:c r="V725" s="26"/>
      <x:c r="W725" s="26"/>
      <x:c r="X725" s="26"/>
      <x:c r="Y725" s="26"/>
      <x:c r="Z725" s="26"/>
      <x:c r="AA725" s="26"/>
      <x:c r="AB725" s="26"/>
      <x:c r="AC725" s="26"/>
      <x:c r="AD725" s="26"/>
      <x:c r="AE725" s="26"/>
      <x:c r="AF725" s="26"/>
      <x:c r="AG725" s="26"/>
      <x:c r="AH725" s="26"/>
      <x:c r="AI725" s="26"/>
      <x:c r="AJ725" s="26"/>
      <x:c r="AK725" s="26"/>
      <x:c r="AL725" s="26"/>
      <x:c r="AM725" s="26"/>
    </x:row>
    <x:row r="726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  <x:c r="R726" s="26"/>
      <x:c r="S726" s="26"/>
      <x:c r="T726" s="26"/>
      <x:c r="U726" s="26"/>
      <x:c r="V726" s="26"/>
      <x:c r="W726" s="26"/>
      <x:c r="X726" s="26"/>
      <x:c r="Y726" s="26"/>
      <x:c r="Z726" s="26"/>
      <x:c r="AA726" s="26"/>
      <x:c r="AB726" s="26"/>
      <x:c r="AC726" s="26"/>
      <x:c r="AD726" s="26"/>
      <x:c r="AE726" s="26"/>
      <x:c r="AF726" s="26"/>
      <x:c r="AG726" s="26"/>
      <x:c r="AH726" s="26"/>
      <x:c r="AI726" s="26"/>
      <x:c r="AJ726" s="26"/>
      <x:c r="AK726" s="26"/>
      <x:c r="AL726" s="26"/>
      <x:c r="AM726" s="26"/>
    </x:row>
    <x:row r="727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  <x:c r="R727" s="26"/>
      <x:c r="S727" s="26"/>
      <x:c r="T727" s="26"/>
      <x:c r="U727" s="26"/>
      <x:c r="V727" s="26"/>
      <x:c r="W727" s="26"/>
      <x:c r="X727" s="26"/>
      <x:c r="Y727" s="26"/>
      <x:c r="Z727" s="26"/>
      <x:c r="AA727" s="26"/>
      <x:c r="AB727" s="26"/>
      <x:c r="AC727" s="26"/>
      <x:c r="AD727" s="26"/>
      <x:c r="AE727" s="26"/>
      <x:c r="AF727" s="26"/>
      <x:c r="AG727" s="26"/>
      <x:c r="AH727" s="26"/>
      <x:c r="AI727" s="26"/>
      <x:c r="AJ727" s="26"/>
      <x:c r="AK727" s="26"/>
      <x:c r="AL727" s="26"/>
      <x:c r="AM727" s="26"/>
    </x:row>
    <x:row r="728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  <x:c r="R728" s="26"/>
      <x:c r="S728" s="26"/>
      <x:c r="T728" s="26"/>
      <x:c r="U728" s="26"/>
      <x:c r="V728" s="26"/>
      <x:c r="W728" s="26"/>
      <x:c r="X728" s="26"/>
      <x:c r="Y728" s="26"/>
      <x:c r="Z728" s="26"/>
      <x:c r="AA728" s="26"/>
      <x:c r="AB728" s="26"/>
      <x:c r="AC728" s="26"/>
      <x:c r="AD728" s="26"/>
      <x:c r="AE728" s="26"/>
      <x:c r="AF728" s="26"/>
      <x:c r="AG728" s="26"/>
      <x:c r="AH728" s="26"/>
      <x:c r="AI728" s="26"/>
      <x:c r="AJ728" s="26"/>
      <x:c r="AK728" s="26"/>
      <x:c r="AL728" s="26"/>
      <x:c r="AM728" s="26"/>
    </x:row>
    <x:row r="729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  <x:c r="R729" s="26"/>
      <x:c r="S729" s="26"/>
      <x:c r="T729" s="26"/>
      <x:c r="U729" s="26"/>
      <x:c r="V729" s="26"/>
      <x:c r="W729" s="26"/>
      <x:c r="X729" s="26"/>
      <x:c r="Y729" s="26"/>
      <x:c r="Z729" s="26"/>
      <x:c r="AA729" s="26"/>
      <x:c r="AB729" s="26"/>
      <x:c r="AC729" s="26"/>
      <x:c r="AD729" s="26"/>
      <x:c r="AE729" s="26"/>
      <x:c r="AF729" s="26"/>
      <x:c r="AG729" s="26"/>
      <x:c r="AH729" s="26"/>
      <x:c r="AI729" s="26"/>
      <x:c r="AJ729" s="26"/>
      <x:c r="AK729" s="26"/>
      <x:c r="AL729" s="26"/>
      <x:c r="AM729" s="26"/>
    </x:row>
    <x:row r="730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  <x:c r="R730" s="26"/>
      <x:c r="S730" s="26"/>
      <x:c r="T730" s="26"/>
      <x:c r="U730" s="26"/>
      <x:c r="V730" s="26"/>
      <x:c r="W730" s="26"/>
      <x:c r="X730" s="26"/>
      <x:c r="Y730" s="26"/>
      <x:c r="Z730" s="26"/>
      <x:c r="AA730" s="26"/>
      <x:c r="AB730" s="26"/>
      <x:c r="AC730" s="26"/>
      <x:c r="AD730" s="26"/>
      <x:c r="AE730" s="26"/>
      <x:c r="AF730" s="26"/>
      <x:c r="AG730" s="26"/>
      <x:c r="AH730" s="26"/>
      <x:c r="AI730" s="26"/>
      <x:c r="AJ730" s="26"/>
      <x:c r="AK730" s="26"/>
      <x:c r="AL730" s="26"/>
      <x:c r="AM730" s="26"/>
    </x:row>
    <x:row r="73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  <x:c r="R731" s="26"/>
      <x:c r="S731" s="26"/>
      <x:c r="T731" s="26"/>
      <x:c r="U731" s="26"/>
      <x:c r="V731" s="26"/>
      <x:c r="W731" s="26"/>
      <x:c r="X731" s="26"/>
      <x:c r="Y731" s="26"/>
      <x:c r="Z731" s="26"/>
      <x:c r="AA731" s="26"/>
      <x:c r="AB731" s="26"/>
      <x:c r="AC731" s="26"/>
      <x:c r="AD731" s="26"/>
      <x:c r="AE731" s="26"/>
      <x:c r="AF731" s="26"/>
      <x:c r="AG731" s="26"/>
      <x:c r="AH731" s="26"/>
      <x:c r="AI731" s="26"/>
      <x:c r="AJ731" s="26"/>
      <x:c r="AK731" s="26"/>
      <x:c r="AL731" s="26"/>
      <x:c r="AM731" s="26"/>
    </x:row>
    <x:row r="732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  <x:c r="R732" s="26"/>
      <x:c r="S732" s="26"/>
      <x:c r="T732" s="26"/>
      <x:c r="U732" s="26"/>
      <x:c r="V732" s="26"/>
      <x:c r="W732" s="26"/>
      <x:c r="X732" s="26"/>
      <x:c r="Y732" s="26"/>
      <x:c r="Z732" s="26"/>
      <x:c r="AA732" s="26"/>
      <x:c r="AB732" s="26"/>
      <x:c r="AC732" s="26"/>
      <x:c r="AD732" s="26"/>
      <x:c r="AE732" s="26"/>
      <x:c r="AF732" s="26"/>
      <x:c r="AG732" s="26"/>
      <x:c r="AH732" s="26"/>
      <x:c r="AI732" s="26"/>
      <x:c r="AJ732" s="26"/>
      <x:c r="AK732" s="26"/>
      <x:c r="AL732" s="26"/>
      <x:c r="AM732" s="26"/>
    </x:row>
    <x:row r="733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  <x:c r="R733" s="26"/>
      <x:c r="S733" s="26"/>
      <x:c r="T733" s="26"/>
      <x:c r="U733" s="26"/>
      <x:c r="V733" s="26"/>
      <x:c r="W733" s="26"/>
      <x:c r="X733" s="26"/>
      <x:c r="Y733" s="26"/>
      <x:c r="Z733" s="26"/>
      <x:c r="AA733" s="26"/>
      <x:c r="AB733" s="26"/>
      <x:c r="AC733" s="26"/>
      <x:c r="AD733" s="26"/>
      <x:c r="AE733" s="26"/>
      <x:c r="AF733" s="26"/>
      <x:c r="AG733" s="26"/>
      <x:c r="AH733" s="26"/>
      <x:c r="AI733" s="26"/>
      <x:c r="AJ733" s="26"/>
      <x:c r="AK733" s="26"/>
      <x:c r="AL733" s="26"/>
      <x:c r="AM733" s="26"/>
    </x:row>
    <x:row r="734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  <x:c r="R734" s="26"/>
      <x:c r="S734" s="26"/>
      <x:c r="T734" s="26"/>
      <x:c r="U734" s="26"/>
      <x:c r="V734" s="26"/>
      <x:c r="W734" s="26"/>
      <x:c r="X734" s="26"/>
      <x:c r="Y734" s="26"/>
      <x:c r="Z734" s="26"/>
      <x:c r="AA734" s="26"/>
      <x:c r="AB734" s="26"/>
      <x:c r="AC734" s="26"/>
      <x:c r="AD734" s="26"/>
      <x:c r="AE734" s="26"/>
      <x:c r="AF734" s="26"/>
      <x:c r="AG734" s="26"/>
      <x:c r="AH734" s="26"/>
      <x:c r="AI734" s="26"/>
      <x:c r="AJ734" s="26"/>
      <x:c r="AK734" s="26"/>
      <x:c r="AL734" s="26"/>
      <x:c r="AM734" s="26"/>
    </x:row>
    <x:row r="735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  <x:c r="R735" s="26"/>
      <x:c r="S735" s="26"/>
      <x:c r="T735" s="26"/>
      <x:c r="U735" s="26"/>
      <x:c r="V735" s="26"/>
      <x:c r="W735" s="26"/>
      <x:c r="X735" s="26"/>
      <x:c r="Y735" s="26"/>
      <x:c r="Z735" s="26"/>
      <x:c r="AA735" s="26"/>
      <x:c r="AB735" s="26"/>
      <x:c r="AC735" s="26"/>
      <x:c r="AD735" s="26"/>
      <x:c r="AE735" s="26"/>
      <x:c r="AF735" s="26"/>
      <x:c r="AG735" s="26"/>
      <x:c r="AH735" s="26"/>
      <x:c r="AI735" s="26"/>
      <x:c r="AJ735" s="26"/>
      <x:c r="AK735" s="26"/>
      <x:c r="AL735" s="26"/>
      <x:c r="AM735" s="26"/>
    </x:row>
    <x:row r="736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  <x:c r="R736" s="26"/>
      <x:c r="S736" s="26"/>
      <x:c r="T736" s="26"/>
      <x:c r="U736" s="26"/>
      <x:c r="V736" s="26"/>
      <x:c r="W736" s="26"/>
      <x:c r="X736" s="26"/>
      <x:c r="Y736" s="26"/>
      <x:c r="Z736" s="26"/>
      <x:c r="AA736" s="26"/>
      <x:c r="AB736" s="26"/>
      <x:c r="AC736" s="26"/>
      <x:c r="AD736" s="26"/>
      <x:c r="AE736" s="26"/>
      <x:c r="AF736" s="26"/>
      <x:c r="AG736" s="26"/>
      <x:c r="AH736" s="26"/>
      <x:c r="AI736" s="26"/>
      <x:c r="AJ736" s="26"/>
      <x:c r="AK736" s="26"/>
      <x:c r="AL736" s="26"/>
      <x:c r="AM736" s="26"/>
    </x:row>
    <x:row r="737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  <x:c r="R737" s="26"/>
      <x:c r="S737" s="26"/>
      <x:c r="T737" s="26"/>
      <x:c r="U737" s="26"/>
      <x:c r="V737" s="26"/>
      <x:c r="W737" s="26"/>
      <x:c r="X737" s="26"/>
      <x:c r="Y737" s="26"/>
      <x:c r="Z737" s="26"/>
      <x:c r="AA737" s="26"/>
      <x:c r="AB737" s="26"/>
      <x:c r="AC737" s="26"/>
      <x:c r="AD737" s="26"/>
      <x:c r="AE737" s="26"/>
      <x:c r="AF737" s="26"/>
      <x:c r="AG737" s="26"/>
      <x:c r="AH737" s="26"/>
      <x:c r="AI737" s="26"/>
      <x:c r="AJ737" s="26"/>
      <x:c r="AK737" s="26"/>
      <x:c r="AL737" s="26"/>
      <x:c r="AM737" s="26"/>
    </x:row>
    <x:row r="738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  <x:c r="R738" s="26"/>
      <x:c r="S738" s="26"/>
      <x:c r="T738" s="26"/>
      <x:c r="U738" s="26"/>
      <x:c r="V738" s="26"/>
      <x:c r="W738" s="26"/>
      <x:c r="X738" s="26"/>
      <x:c r="Y738" s="26"/>
      <x:c r="Z738" s="26"/>
      <x:c r="AA738" s="26"/>
      <x:c r="AB738" s="26"/>
      <x:c r="AC738" s="26"/>
      <x:c r="AD738" s="26"/>
      <x:c r="AE738" s="26"/>
      <x:c r="AF738" s="26"/>
      <x:c r="AG738" s="26"/>
      <x:c r="AH738" s="26"/>
      <x:c r="AI738" s="26"/>
      <x:c r="AJ738" s="26"/>
      <x:c r="AK738" s="26"/>
      <x:c r="AL738" s="26"/>
      <x:c r="AM738" s="26"/>
    </x:row>
    <x:row r="739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  <x:c r="R739" s="26"/>
      <x:c r="S739" s="26"/>
      <x:c r="T739" s="26"/>
      <x:c r="U739" s="26"/>
      <x:c r="V739" s="26"/>
      <x:c r="W739" s="26"/>
      <x:c r="X739" s="26"/>
      <x:c r="Y739" s="26"/>
      <x:c r="Z739" s="26"/>
      <x:c r="AA739" s="26"/>
      <x:c r="AB739" s="26"/>
      <x:c r="AC739" s="26"/>
      <x:c r="AD739" s="26"/>
      <x:c r="AE739" s="26"/>
      <x:c r="AF739" s="26"/>
      <x:c r="AG739" s="26"/>
      <x:c r="AH739" s="26"/>
      <x:c r="AI739" s="26"/>
      <x:c r="AJ739" s="26"/>
      <x:c r="AK739" s="26"/>
      <x:c r="AL739" s="26"/>
      <x:c r="AM739" s="26"/>
    </x:row>
    <x:row r="740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  <x:c r="R740" s="26"/>
      <x:c r="S740" s="26"/>
      <x:c r="T740" s="26"/>
      <x:c r="U740" s="26"/>
      <x:c r="V740" s="26"/>
      <x:c r="W740" s="26"/>
      <x:c r="X740" s="26"/>
      <x:c r="Y740" s="26"/>
      <x:c r="Z740" s="26"/>
      <x:c r="AA740" s="26"/>
      <x:c r="AB740" s="26"/>
      <x:c r="AC740" s="26"/>
      <x:c r="AD740" s="26"/>
      <x:c r="AE740" s="26"/>
      <x:c r="AF740" s="26"/>
      <x:c r="AG740" s="26"/>
      <x:c r="AH740" s="26"/>
      <x:c r="AI740" s="26"/>
      <x:c r="AJ740" s="26"/>
      <x:c r="AK740" s="26"/>
      <x:c r="AL740" s="26"/>
      <x:c r="AM740" s="26"/>
    </x:row>
    <x:row r="74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  <x:c r="R741" s="26"/>
      <x:c r="S741" s="26"/>
      <x:c r="T741" s="26"/>
      <x:c r="U741" s="26"/>
      <x:c r="V741" s="26"/>
      <x:c r="W741" s="26"/>
      <x:c r="X741" s="26"/>
      <x:c r="Y741" s="26"/>
      <x:c r="Z741" s="26"/>
      <x:c r="AA741" s="26"/>
      <x:c r="AB741" s="26"/>
      <x:c r="AC741" s="26"/>
      <x:c r="AD741" s="26"/>
      <x:c r="AE741" s="26"/>
      <x:c r="AF741" s="26"/>
      <x:c r="AG741" s="26"/>
      <x:c r="AH741" s="26"/>
      <x:c r="AI741" s="26"/>
      <x:c r="AJ741" s="26"/>
      <x:c r="AK741" s="26"/>
      <x:c r="AL741" s="26"/>
      <x:c r="AM741" s="26"/>
    </x:row>
    <x:row r="742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  <x:c r="R742" s="26"/>
      <x:c r="S742" s="26"/>
      <x:c r="T742" s="26"/>
      <x:c r="U742" s="26"/>
      <x:c r="V742" s="26"/>
      <x:c r="W742" s="26"/>
      <x:c r="X742" s="26"/>
      <x:c r="Y742" s="26"/>
      <x:c r="Z742" s="26"/>
      <x:c r="AA742" s="26"/>
      <x:c r="AB742" s="26"/>
      <x:c r="AC742" s="26"/>
      <x:c r="AD742" s="26"/>
      <x:c r="AE742" s="26"/>
      <x:c r="AF742" s="26"/>
      <x:c r="AG742" s="26"/>
      <x:c r="AH742" s="26"/>
      <x:c r="AI742" s="26"/>
      <x:c r="AJ742" s="26"/>
      <x:c r="AK742" s="26"/>
      <x:c r="AL742" s="26"/>
      <x:c r="AM742" s="26"/>
    </x:row>
    <x:row r="743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  <x:c r="R743" s="26"/>
      <x:c r="S743" s="26"/>
      <x:c r="T743" s="26"/>
      <x:c r="U743" s="26"/>
      <x:c r="V743" s="26"/>
      <x:c r="W743" s="26"/>
      <x:c r="X743" s="26"/>
      <x:c r="Y743" s="26"/>
      <x:c r="Z743" s="26"/>
      <x:c r="AA743" s="26"/>
      <x:c r="AB743" s="26"/>
      <x:c r="AC743" s="26"/>
      <x:c r="AD743" s="26"/>
      <x:c r="AE743" s="26"/>
      <x:c r="AF743" s="26"/>
      <x:c r="AG743" s="26"/>
      <x:c r="AH743" s="26"/>
      <x:c r="AI743" s="26"/>
      <x:c r="AJ743" s="26"/>
      <x:c r="AK743" s="26"/>
      <x:c r="AL743" s="26"/>
      <x:c r="AM743" s="26"/>
    </x:row>
    <x:row r="744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  <x:c r="R744" s="26"/>
      <x:c r="S744" s="26"/>
      <x:c r="T744" s="26"/>
      <x:c r="U744" s="26"/>
      <x:c r="V744" s="26"/>
      <x:c r="W744" s="26"/>
      <x:c r="X744" s="26"/>
      <x:c r="Y744" s="26"/>
      <x:c r="Z744" s="26"/>
      <x:c r="AA744" s="26"/>
      <x:c r="AB744" s="26"/>
      <x:c r="AC744" s="26"/>
      <x:c r="AD744" s="26"/>
      <x:c r="AE744" s="26"/>
      <x:c r="AF744" s="26"/>
      <x:c r="AG744" s="26"/>
      <x:c r="AH744" s="26"/>
      <x:c r="AI744" s="26"/>
      <x:c r="AJ744" s="26"/>
      <x:c r="AK744" s="26"/>
      <x:c r="AL744" s="26"/>
      <x:c r="AM744" s="26"/>
    </x:row>
    <x:row r="745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  <x:c r="R745" s="26"/>
      <x:c r="S745" s="26"/>
      <x:c r="T745" s="26"/>
      <x:c r="U745" s="26"/>
      <x:c r="V745" s="26"/>
      <x:c r="W745" s="26"/>
      <x:c r="X745" s="26"/>
      <x:c r="Y745" s="26"/>
      <x:c r="Z745" s="26"/>
      <x:c r="AA745" s="26"/>
      <x:c r="AB745" s="26"/>
      <x:c r="AC745" s="26"/>
      <x:c r="AD745" s="26"/>
      <x:c r="AE745" s="26"/>
      <x:c r="AF745" s="26"/>
      <x:c r="AG745" s="26"/>
      <x:c r="AH745" s="26"/>
      <x:c r="AI745" s="26"/>
      <x:c r="AJ745" s="26"/>
      <x:c r="AK745" s="26"/>
      <x:c r="AL745" s="26"/>
      <x:c r="AM745" s="26"/>
    </x:row>
    <x:row r="746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  <x:c r="R746" s="26"/>
      <x:c r="S746" s="26"/>
      <x:c r="T746" s="26"/>
      <x:c r="U746" s="26"/>
      <x:c r="V746" s="26"/>
      <x:c r="W746" s="26"/>
      <x:c r="X746" s="26"/>
      <x:c r="Y746" s="26"/>
      <x:c r="Z746" s="26"/>
      <x:c r="AA746" s="26"/>
      <x:c r="AB746" s="26"/>
      <x:c r="AC746" s="26"/>
      <x:c r="AD746" s="26"/>
      <x:c r="AE746" s="26"/>
      <x:c r="AF746" s="26"/>
      <x:c r="AG746" s="26"/>
      <x:c r="AH746" s="26"/>
      <x:c r="AI746" s="26"/>
      <x:c r="AJ746" s="26"/>
      <x:c r="AK746" s="26"/>
      <x:c r="AL746" s="26"/>
      <x:c r="AM746" s="26"/>
    </x:row>
    <x:row r="747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  <x:c r="R747" s="26"/>
      <x:c r="S747" s="26"/>
      <x:c r="T747" s="26"/>
      <x:c r="U747" s="26"/>
      <x:c r="V747" s="26"/>
      <x:c r="W747" s="26"/>
      <x:c r="X747" s="26"/>
      <x:c r="Y747" s="26"/>
      <x:c r="Z747" s="26"/>
      <x:c r="AA747" s="26"/>
      <x:c r="AB747" s="26"/>
      <x:c r="AC747" s="26"/>
      <x:c r="AD747" s="26"/>
      <x:c r="AE747" s="26"/>
      <x:c r="AF747" s="26"/>
      <x:c r="AG747" s="26"/>
      <x:c r="AH747" s="26"/>
      <x:c r="AI747" s="26"/>
      <x:c r="AJ747" s="26"/>
      <x:c r="AK747" s="26"/>
      <x:c r="AL747" s="26"/>
      <x:c r="AM747" s="26"/>
    </x:row>
    <x:row r="748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  <x:c r="R748" s="26"/>
      <x:c r="S748" s="26"/>
      <x:c r="T748" s="26"/>
      <x:c r="U748" s="26"/>
      <x:c r="V748" s="26"/>
      <x:c r="W748" s="26"/>
      <x:c r="X748" s="26"/>
      <x:c r="Y748" s="26"/>
      <x:c r="Z748" s="26"/>
      <x:c r="AA748" s="26"/>
      <x:c r="AB748" s="26"/>
      <x:c r="AC748" s="26"/>
      <x:c r="AD748" s="26"/>
      <x:c r="AE748" s="26"/>
      <x:c r="AF748" s="26"/>
      <x:c r="AG748" s="26"/>
      <x:c r="AH748" s="26"/>
      <x:c r="AI748" s="26"/>
      <x:c r="AJ748" s="26"/>
      <x:c r="AK748" s="26"/>
      <x:c r="AL748" s="26"/>
      <x:c r="AM748" s="26"/>
    </x:row>
    <x:row r="749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  <x:c r="R749" s="26"/>
      <x:c r="S749" s="26"/>
      <x:c r="T749" s="26"/>
      <x:c r="U749" s="26"/>
      <x:c r="V749" s="26"/>
      <x:c r="W749" s="26"/>
      <x:c r="X749" s="26"/>
      <x:c r="Y749" s="26"/>
      <x:c r="Z749" s="26"/>
      <x:c r="AA749" s="26"/>
      <x:c r="AB749" s="26"/>
      <x:c r="AC749" s="26"/>
      <x:c r="AD749" s="26"/>
      <x:c r="AE749" s="26"/>
      <x:c r="AF749" s="26"/>
      <x:c r="AG749" s="26"/>
      <x:c r="AH749" s="26"/>
      <x:c r="AI749" s="26"/>
      <x:c r="AJ749" s="26"/>
      <x:c r="AK749" s="26"/>
      <x:c r="AL749" s="26"/>
      <x:c r="AM749" s="26"/>
    </x:row>
    <x:row r="750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  <x:c r="R750" s="26"/>
      <x:c r="S750" s="26"/>
      <x:c r="T750" s="26"/>
      <x:c r="U750" s="26"/>
      <x:c r="V750" s="26"/>
      <x:c r="W750" s="26"/>
      <x:c r="X750" s="26"/>
      <x:c r="Y750" s="26"/>
      <x:c r="Z750" s="26"/>
      <x:c r="AA750" s="26"/>
      <x:c r="AB750" s="26"/>
      <x:c r="AC750" s="26"/>
      <x:c r="AD750" s="26"/>
      <x:c r="AE750" s="26"/>
      <x:c r="AF750" s="26"/>
      <x:c r="AG750" s="26"/>
      <x:c r="AH750" s="26"/>
      <x:c r="AI750" s="26"/>
      <x:c r="AJ750" s="26"/>
      <x:c r="AK750" s="26"/>
      <x:c r="AL750" s="26"/>
      <x:c r="AM750" s="26"/>
    </x:row>
    <x:row r="75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  <x:c r="R751" s="26"/>
      <x:c r="S751" s="26"/>
      <x:c r="T751" s="26"/>
      <x:c r="U751" s="26"/>
      <x:c r="V751" s="26"/>
      <x:c r="W751" s="26"/>
      <x:c r="X751" s="26"/>
      <x:c r="Y751" s="26"/>
      <x:c r="Z751" s="26"/>
      <x:c r="AA751" s="26"/>
      <x:c r="AB751" s="26"/>
      <x:c r="AC751" s="26"/>
      <x:c r="AD751" s="26"/>
      <x:c r="AE751" s="26"/>
      <x:c r="AF751" s="26"/>
      <x:c r="AG751" s="26"/>
      <x:c r="AH751" s="26"/>
      <x:c r="AI751" s="26"/>
      <x:c r="AJ751" s="26"/>
      <x:c r="AK751" s="26"/>
      <x:c r="AL751" s="26"/>
      <x:c r="AM751" s="26"/>
    </x:row>
    <x:row r="752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  <x:c r="R752" s="26"/>
      <x:c r="S752" s="26"/>
      <x:c r="T752" s="26"/>
      <x:c r="U752" s="26"/>
      <x:c r="V752" s="26"/>
      <x:c r="W752" s="26"/>
      <x:c r="X752" s="26"/>
      <x:c r="Y752" s="26"/>
      <x:c r="Z752" s="26"/>
      <x:c r="AA752" s="26"/>
      <x:c r="AB752" s="26"/>
      <x:c r="AC752" s="26"/>
      <x:c r="AD752" s="26"/>
      <x:c r="AE752" s="26"/>
      <x:c r="AF752" s="26"/>
      <x:c r="AG752" s="26"/>
      <x:c r="AH752" s="26"/>
      <x:c r="AI752" s="26"/>
      <x:c r="AJ752" s="26"/>
      <x:c r="AK752" s="26"/>
      <x:c r="AL752" s="26"/>
      <x:c r="AM752" s="26"/>
    </x:row>
    <x:row r="753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  <x:c r="R753" s="26"/>
      <x:c r="S753" s="26"/>
      <x:c r="T753" s="26"/>
      <x:c r="U753" s="26"/>
      <x:c r="V753" s="26"/>
      <x:c r="W753" s="26"/>
      <x:c r="X753" s="26"/>
      <x:c r="Y753" s="26"/>
      <x:c r="Z753" s="26"/>
      <x:c r="AA753" s="26"/>
      <x:c r="AB753" s="26"/>
      <x:c r="AC753" s="26"/>
      <x:c r="AD753" s="26"/>
      <x:c r="AE753" s="26"/>
      <x:c r="AF753" s="26"/>
      <x:c r="AG753" s="26"/>
      <x:c r="AH753" s="26"/>
      <x:c r="AI753" s="26"/>
      <x:c r="AJ753" s="26"/>
      <x:c r="AK753" s="26"/>
      <x:c r="AL753" s="26"/>
      <x:c r="AM753" s="26"/>
    </x:row>
    <x:row r="754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  <x:c r="R754" s="26"/>
      <x:c r="S754" s="26"/>
      <x:c r="T754" s="26"/>
      <x:c r="U754" s="26"/>
      <x:c r="V754" s="26"/>
      <x:c r="W754" s="26"/>
      <x:c r="X754" s="26"/>
      <x:c r="Y754" s="26"/>
      <x:c r="Z754" s="26"/>
      <x:c r="AA754" s="26"/>
      <x:c r="AB754" s="26"/>
      <x:c r="AC754" s="26"/>
      <x:c r="AD754" s="26"/>
      <x:c r="AE754" s="26"/>
      <x:c r="AF754" s="26"/>
      <x:c r="AG754" s="26"/>
      <x:c r="AH754" s="26"/>
      <x:c r="AI754" s="26"/>
      <x:c r="AJ754" s="26"/>
      <x:c r="AK754" s="26"/>
      <x:c r="AL754" s="26"/>
      <x:c r="AM754" s="26"/>
    </x:row>
    <x:row r="755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  <x:c r="R755" s="26"/>
      <x:c r="S755" s="26"/>
      <x:c r="T755" s="26"/>
      <x:c r="U755" s="26"/>
      <x:c r="V755" s="26"/>
      <x:c r="W755" s="26"/>
      <x:c r="X755" s="26"/>
      <x:c r="Y755" s="26"/>
      <x:c r="Z755" s="26"/>
      <x:c r="AA755" s="26"/>
      <x:c r="AB755" s="26"/>
      <x:c r="AC755" s="26"/>
      <x:c r="AD755" s="26"/>
      <x:c r="AE755" s="26"/>
      <x:c r="AF755" s="26"/>
      <x:c r="AG755" s="26"/>
      <x:c r="AH755" s="26"/>
      <x:c r="AI755" s="26"/>
      <x:c r="AJ755" s="26"/>
      <x:c r="AK755" s="26"/>
      <x:c r="AL755" s="26"/>
      <x:c r="AM755" s="26"/>
    </x:row>
    <x:row r="756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  <x:c r="R756" s="26"/>
      <x:c r="S756" s="26"/>
      <x:c r="T756" s="26"/>
      <x:c r="U756" s="26"/>
      <x:c r="V756" s="26"/>
      <x:c r="W756" s="26"/>
      <x:c r="X756" s="26"/>
      <x:c r="Y756" s="26"/>
      <x:c r="Z756" s="26"/>
      <x:c r="AA756" s="26"/>
      <x:c r="AB756" s="26"/>
      <x:c r="AC756" s="26"/>
      <x:c r="AD756" s="26"/>
      <x:c r="AE756" s="26"/>
      <x:c r="AF756" s="26"/>
      <x:c r="AG756" s="26"/>
      <x:c r="AH756" s="26"/>
      <x:c r="AI756" s="26"/>
      <x:c r="AJ756" s="26"/>
      <x:c r="AK756" s="26"/>
      <x:c r="AL756" s="26"/>
      <x:c r="AM756" s="26"/>
    </x:row>
    <x:row r="757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  <x:c r="R757" s="26"/>
      <x:c r="S757" s="26"/>
      <x:c r="T757" s="26"/>
      <x:c r="U757" s="26"/>
      <x:c r="V757" s="26"/>
      <x:c r="W757" s="26"/>
      <x:c r="X757" s="26"/>
      <x:c r="Y757" s="26"/>
      <x:c r="Z757" s="26"/>
      <x:c r="AA757" s="26"/>
      <x:c r="AB757" s="26"/>
      <x:c r="AC757" s="26"/>
      <x:c r="AD757" s="26"/>
      <x:c r="AE757" s="26"/>
      <x:c r="AF757" s="26"/>
      <x:c r="AG757" s="26"/>
      <x:c r="AH757" s="26"/>
      <x:c r="AI757" s="26"/>
      <x:c r="AJ757" s="26"/>
      <x:c r="AK757" s="26"/>
      <x:c r="AL757" s="26"/>
      <x:c r="AM757" s="26"/>
    </x:row>
    <x:row r="758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  <x:c r="R758" s="26"/>
      <x:c r="S758" s="26"/>
      <x:c r="T758" s="26"/>
      <x:c r="U758" s="26"/>
      <x:c r="V758" s="26"/>
      <x:c r="W758" s="26"/>
      <x:c r="X758" s="26"/>
      <x:c r="Y758" s="26"/>
      <x:c r="Z758" s="26"/>
      <x:c r="AA758" s="26"/>
      <x:c r="AB758" s="26"/>
      <x:c r="AC758" s="26"/>
      <x:c r="AD758" s="26"/>
      <x:c r="AE758" s="26"/>
      <x:c r="AF758" s="26"/>
      <x:c r="AG758" s="26"/>
      <x:c r="AH758" s="26"/>
      <x:c r="AI758" s="26"/>
      <x:c r="AJ758" s="26"/>
      <x:c r="AK758" s="26"/>
      <x:c r="AL758" s="26"/>
      <x:c r="AM758" s="26"/>
    </x:row>
    <x:row r="759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  <x:c r="R759" s="26"/>
      <x:c r="S759" s="26"/>
      <x:c r="T759" s="26"/>
      <x:c r="U759" s="26"/>
      <x:c r="V759" s="26"/>
      <x:c r="W759" s="26"/>
      <x:c r="X759" s="26"/>
      <x:c r="Y759" s="26"/>
      <x:c r="Z759" s="26"/>
      <x:c r="AA759" s="26"/>
      <x:c r="AB759" s="26"/>
      <x:c r="AC759" s="26"/>
      <x:c r="AD759" s="26"/>
      <x:c r="AE759" s="26"/>
      <x:c r="AF759" s="26"/>
      <x:c r="AG759" s="26"/>
      <x:c r="AH759" s="26"/>
      <x:c r="AI759" s="26"/>
      <x:c r="AJ759" s="26"/>
      <x:c r="AK759" s="26"/>
      <x:c r="AL759" s="26"/>
      <x:c r="AM759" s="26"/>
    </x:row>
    <x:row r="760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  <x:c r="R760" s="26"/>
      <x:c r="S760" s="26"/>
      <x:c r="T760" s="26"/>
      <x:c r="U760" s="26"/>
      <x:c r="V760" s="26"/>
      <x:c r="W760" s="26"/>
      <x:c r="X760" s="26"/>
      <x:c r="Y760" s="26"/>
      <x:c r="Z760" s="26"/>
      <x:c r="AA760" s="26"/>
      <x:c r="AB760" s="26"/>
      <x:c r="AC760" s="26"/>
      <x:c r="AD760" s="26"/>
      <x:c r="AE760" s="26"/>
      <x:c r="AF760" s="26"/>
      <x:c r="AG760" s="26"/>
      <x:c r="AH760" s="26"/>
      <x:c r="AI760" s="26"/>
      <x:c r="AJ760" s="26"/>
      <x:c r="AK760" s="26"/>
      <x:c r="AL760" s="26"/>
      <x:c r="AM760" s="26"/>
    </x:row>
    <x:row r="76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  <x:c r="R761" s="26"/>
      <x:c r="S761" s="26"/>
      <x:c r="T761" s="26"/>
      <x:c r="U761" s="26"/>
      <x:c r="V761" s="26"/>
      <x:c r="W761" s="26"/>
      <x:c r="X761" s="26"/>
      <x:c r="Y761" s="26"/>
      <x:c r="Z761" s="26"/>
      <x:c r="AA761" s="26"/>
      <x:c r="AB761" s="26"/>
      <x:c r="AC761" s="26"/>
      <x:c r="AD761" s="26"/>
      <x:c r="AE761" s="26"/>
      <x:c r="AF761" s="26"/>
      <x:c r="AG761" s="26"/>
      <x:c r="AH761" s="26"/>
      <x:c r="AI761" s="26"/>
      <x:c r="AJ761" s="26"/>
      <x:c r="AK761" s="26"/>
      <x:c r="AL761" s="26"/>
      <x:c r="AM761" s="26"/>
    </x:row>
    <x:row r="762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  <x:c r="R762" s="26"/>
      <x:c r="S762" s="26"/>
      <x:c r="T762" s="26"/>
      <x:c r="U762" s="26"/>
      <x:c r="V762" s="26"/>
      <x:c r="W762" s="26"/>
      <x:c r="X762" s="26"/>
      <x:c r="Y762" s="26"/>
      <x:c r="Z762" s="26"/>
      <x:c r="AA762" s="26"/>
      <x:c r="AB762" s="26"/>
      <x:c r="AC762" s="26"/>
      <x:c r="AD762" s="26"/>
      <x:c r="AE762" s="26"/>
      <x:c r="AF762" s="26"/>
      <x:c r="AG762" s="26"/>
      <x:c r="AH762" s="26"/>
      <x:c r="AI762" s="26"/>
      <x:c r="AJ762" s="26"/>
      <x:c r="AK762" s="26"/>
      <x:c r="AL762" s="26"/>
      <x:c r="AM762" s="26"/>
    </x:row>
    <x:row r="763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  <x:c r="R763" s="26"/>
      <x:c r="S763" s="26"/>
      <x:c r="T763" s="26"/>
      <x:c r="U763" s="26"/>
      <x:c r="V763" s="26"/>
      <x:c r="W763" s="26"/>
      <x:c r="X763" s="26"/>
      <x:c r="Y763" s="26"/>
      <x:c r="Z763" s="26"/>
      <x:c r="AA763" s="26"/>
      <x:c r="AB763" s="26"/>
      <x:c r="AC763" s="26"/>
      <x:c r="AD763" s="26"/>
      <x:c r="AE763" s="26"/>
      <x:c r="AF763" s="26"/>
      <x:c r="AG763" s="26"/>
      <x:c r="AH763" s="26"/>
      <x:c r="AI763" s="26"/>
      <x:c r="AJ763" s="26"/>
      <x:c r="AK763" s="26"/>
      <x:c r="AL763" s="26"/>
      <x:c r="AM763" s="26"/>
    </x:row>
    <x:row r="764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  <x:c r="R764" s="26"/>
      <x:c r="S764" s="26"/>
      <x:c r="T764" s="26"/>
      <x:c r="U764" s="26"/>
      <x:c r="V764" s="26"/>
      <x:c r="W764" s="26"/>
      <x:c r="X764" s="26"/>
      <x:c r="Y764" s="26"/>
      <x:c r="Z764" s="26"/>
      <x:c r="AA764" s="26"/>
      <x:c r="AB764" s="26"/>
      <x:c r="AC764" s="26"/>
      <x:c r="AD764" s="26"/>
      <x:c r="AE764" s="26"/>
      <x:c r="AF764" s="26"/>
      <x:c r="AG764" s="26"/>
      <x:c r="AH764" s="26"/>
      <x:c r="AI764" s="26"/>
      <x:c r="AJ764" s="26"/>
      <x:c r="AK764" s="26"/>
      <x:c r="AL764" s="26"/>
      <x:c r="AM764" s="26"/>
    </x:row>
    <x:row r="765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  <x:c r="R765" s="26"/>
      <x:c r="S765" s="26"/>
      <x:c r="T765" s="26"/>
      <x:c r="U765" s="26"/>
      <x:c r="V765" s="26"/>
      <x:c r="W765" s="26"/>
      <x:c r="X765" s="26"/>
      <x:c r="Y765" s="26"/>
      <x:c r="Z765" s="26"/>
      <x:c r="AA765" s="26"/>
      <x:c r="AB765" s="26"/>
      <x:c r="AC765" s="26"/>
      <x:c r="AD765" s="26"/>
      <x:c r="AE765" s="26"/>
      <x:c r="AF765" s="26"/>
      <x:c r="AG765" s="26"/>
      <x:c r="AH765" s="26"/>
      <x:c r="AI765" s="26"/>
      <x:c r="AJ765" s="26"/>
      <x:c r="AK765" s="26"/>
      <x:c r="AL765" s="26"/>
      <x:c r="AM765" s="26"/>
    </x:row>
    <x:row r="766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  <x:c r="R766" s="26"/>
      <x:c r="S766" s="26"/>
      <x:c r="T766" s="26"/>
      <x:c r="U766" s="26"/>
      <x:c r="V766" s="26"/>
      <x:c r="W766" s="26"/>
      <x:c r="X766" s="26"/>
      <x:c r="Y766" s="26"/>
      <x:c r="Z766" s="26"/>
      <x:c r="AA766" s="26"/>
      <x:c r="AB766" s="26"/>
      <x:c r="AC766" s="26"/>
      <x:c r="AD766" s="26"/>
      <x:c r="AE766" s="26"/>
      <x:c r="AF766" s="26"/>
      <x:c r="AG766" s="26"/>
      <x:c r="AH766" s="26"/>
      <x:c r="AI766" s="26"/>
      <x:c r="AJ766" s="26"/>
      <x:c r="AK766" s="26"/>
      <x:c r="AL766" s="26"/>
      <x:c r="AM766" s="26"/>
    </x:row>
    <x:row r="767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  <x:c r="R767" s="26"/>
      <x:c r="S767" s="26"/>
      <x:c r="T767" s="26"/>
      <x:c r="U767" s="26"/>
      <x:c r="V767" s="26"/>
      <x:c r="W767" s="26"/>
      <x:c r="X767" s="26"/>
      <x:c r="Y767" s="26"/>
      <x:c r="Z767" s="26"/>
      <x:c r="AA767" s="26"/>
      <x:c r="AB767" s="26"/>
      <x:c r="AC767" s="26"/>
      <x:c r="AD767" s="26"/>
      <x:c r="AE767" s="26"/>
      <x:c r="AF767" s="26"/>
      <x:c r="AG767" s="26"/>
      <x:c r="AH767" s="26"/>
      <x:c r="AI767" s="26"/>
      <x:c r="AJ767" s="26"/>
      <x:c r="AK767" s="26"/>
      <x:c r="AL767" s="26"/>
      <x:c r="AM767" s="26"/>
    </x:row>
    <x:row r="768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  <x:c r="R768" s="26"/>
      <x:c r="S768" s="26"/>
      <x:c r="T768" s="26"/>
      <x:c r="U768" s="26"/>
      <x:c r="V768" s="26"/>
      <x:c r="W768" s="26"/>
      <x:c r="X768" s="26"/>
      <x:c r="Y768" s="26"/>
      <x:c r="Z768" s="26"/>
      <x:c r="AA768" s="26"/>
      <x:c r="AB768" s="26"/>
      <x:c r="AC768" s="26"/>
      <x:c r="AD768" s="26"/>
      <x:c r="AE768" s="26"/>
      <x:c r="AF768" s="26"/>
      <x:c r="AG768" s="26"/>
      <x:c r="AH768" s="26"/>
      <x:c r="AI768" s="26"/>
      <x:c r="AJ768" s="26"/>
      <x:c r="AK768" s="26"/>
      <x:c r="AL768" s="26"/>
      <x:c r="AM768" s="26"/>
    </x:row>
    <x:row r="769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  <x:c r="R769" s="26"/>
      <x:c r="S769" s="26"/>
      <x:c r="T769" s="26"/>
      <x:c r="U769" s="26"/>
      <x:c r="V769" s="26"/>
      <x:c r="W769" s="26"/>
      <x:c r="X769" s="26"/>
      <x:c r="Y769" s="26"/>
      <x:c r="Z769" s="26"/>
      <x:c r="AA769" s="26"/>
      <x:c r="AB769" s="26"/>
      <x:c r="AC769" s="26"/>
      <x:c r="AD769" s="26"/>
      <x:c r="AE769" s="26"/>
      <x:c r="AF769" s="26"/>
      <x:c r="AG769" s="26"/>
      <x:c r="AH769" s="26"/>
      <x:c r="AI769" s="26"/>
      <x:c r="AJ769" s="26"/>
      <x:c r="AK769" s="26"/>
      <x:c r="AL769" s="26"/>
      <x:c r="AM769" s="26"/>
    </x:row>
    <x:row r="770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  <x:c r="R770" s="26"/>
      <x:c r="S770" s="26"/>
      <x:c r="T770" s="26"/>
      <x:c r="U770" s="26"/>
      <x:c r="V770" s="26"/>
      <x:c r="W770" s="26"/>
      <x:c r="X770" s="26"/>
      <x:c r="Y770" s="26"/>
      <x:c r="Z770" s="26"/>
      <x:c r="AA770" s="26"/>
      <x:c r="AB770" s="26"/>
      <x:c r="AC770" s="26"/>
      <x:c r="AD770" s="26"/>
      <x:c r="AE770" s="26"/>
      <x:c r="AF770" s="26"/>
      <x:c r="AG770" s="26"/>
      <x:c r="AH770" s="26"/>
      <x:c r="AI770" s="26"/>
      <x:c r="AJ770" s="26"/>
      <x:c r="AK770" s="26"/>
      <x:c r="AL770" s="26"/>
      <x:c r="AM770" s="26"/>
    </x:row>
    <x:row r="77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  <x:c r="R771" s="26"/>
      <x:c r="S771" s="26"/>
      <x:c r="T771" s="26"/>
      <x:c r="U771" s="26"/>
      <x:c r="V771" s="26"/>
      <x:c r="W771" s="26"/>
      <x:c r="X771" s="26"/>
      <x:c r="Y771" s="26"/>
      <x:c r="Z771" s="26"/>
      <x:c r="AA771" s="26"/>
      <x:c r="AB771" s="26"/>
      <x:c r="AC771" s="26"/>
      <x:c r="AD771" s="26"/>
      <x:c r="AE771" s="26"/>
      <x:c r="AF771" s="26"/>
      <x:c r="AG771" s="26"/>
      <x:c r="AH771" s="26"/>
      <x:c r="AI771" s="26"/>
      <x:c r="AJ771" s="26"/>
      <x:c r="AK771" s="26"/>
      <x:c r="AL771" s="26"/>
      <x:c r="AM771" s="26"/>
    </x:row>
    <x:row r="772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  <x:c r="R772" s="26"/>
      <x:c r="S772" s="26"/>
      <x:c r="T772" s="26"/>
      <x:c r="U772" s="26"/>
      <x:c r="V772" s="26"/>
      <x:c r="W772" s="26"/>
      <x:c r="X772" s="26"/>
      <x:c r="Y772" s="26"/>
      <x:c r="Z772" s="26"/>
      <x:c r="AA772" s="26"/>
      <x:c r="AB772" s="26"/>
      <x:c r="AC772" s="26"/>
      <x:c r="AD772" s="26"/>
      <x:c r="AE772" s="26"/>
      <x:c r="AF772" s="26"/>
      <x:c r="AG772" s="26"/>
      <x:c r="AH772" s="26"/>
      <x:c r="AI772" s="26"/>
      <x:c r="AJ772" s="26"/>
      <x:c r="AK772" s="26"/>
      <x:c r="AL772" s="26"/>
      <x:c r="AM772" s="26"/>
    </x:row>
    <x:row r="773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  <x:c r="R773" s="26"/>
      <x:c r="S773" s="26"/>
      <x:c r="T773" s="26"/>
      <x:c r="U773" s="26"/>
      <x:c r="V773" s="26"/>
      <x:c r="W773" s="26"/>
      <x:c r="X773" s="26"/>
      <x:c r="Y773" s="26"/>
      <x:c r="Z773" s="26"/>
      <x:c r="AA773" s="26"/>
      <x:c r="AB773" s="26"/>
      <x:c r="AC773" s="26"/>
      <x:c r="AD773" s="26"/>
      <x:c r="AE773" s="26"/>
      <x:c r="AF773" s="26"/>
      <x:c r="AG773" s="26"/>
      <x:c r="AH773" s="26"/>
      <x:c r="AI773" s="26"/>
      <x:c r="AJ773" s="26"/>
      <x:c r="AK773" s="26"/>
      <x:c r="AL773" s="26"/>
      <x:c r="AM773" s="26"/>
    </x:row>
    <x:row r="774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  <x:c r="R774" s="26"/>
      <x:c r="S774" s="26"/>
      <x:c r="T774" s="26"/>
      <x:c r="U774" s="26"/>
      <x:c r="V774" s="26"/>
      <x:c r="W774" s="26"/>
      <x:c r="X774" s="26"/>
      <x:c r="Y774" s="26"/>
      <x:c r="Z774" s="26"/>
      <x:c r="AA774" s="26"/>
      <x:c r="AB774" s="26"/>
      <x:c r="AC774" s="26"/>
      <x:c r="AD774" s="26"/>
      <x:c r="AE774" s="26"/>
      <x:c r="AF774" s="26"/>
      <x:c r="AG774" s="26"/>
      <x:c r="AH774" s="26"/>
      <x:c r="AI774" s="26"/>
      <x:c r="AJ774" s="26"/>
      <x:c r="AK774" s="26"/>
      <x:c r="AL774" s="26"/>
      <x:c r="AM774" s="26"/>
    </x:row>
    <x:row r="775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  <x:c r="R775" s="26"/>
      <x:c r="S775" s="26"/>
      <x:c r="T775" s="26"/>
      <x:c r="U775" s="26"/>
      <x:c r="V775" s="26"/>
      <x:c r="W775" s="26"/>
      <x:c r="X775" s="26"/>
      <x:c r="Y775" s="26"/>
      <x:c r="Z775" s="26"/>
      <x:c r="AA775" s="26"/>
      <x:c r="AB775" s="26"/>
      <x:c r="AC775" s="26"/>
      <x:c r="AD775" s="26"/>
      <x:c r="AE775" s="26"/>
      <x:c r="AF775" s="26"/>
      <x:c r="AG775" s="26"/>
      <x:c r="AH775" s="26"/>
      <x:c r="AI775" s="26"/>
      <x:c r="AJ775" s="26"/>
      <x:c r="AK775" s="26"/>
      <x:c r="AL775" s="26"/>
      <x:c r="AM775" s="26"/>
    </x:row>
    <x:row r="776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  <x:c r="R776" s="26"/>
      <x:c r="S776" s="26"/>
      <x:c r="T776" s="26"/>
      <x:c r="U776" s="26"/>
      <x:c r="V776" s="26"/>
      <x:c r="W776" s="26"/>
      <x:c r="X776" s="26"/>
      <x:c r="Y776" s="26"/>
      <x:c r="Z776" s="26"/>
      <x:c r="AA776" s="26"/>
      <x:c r="AB776" s="26"/>
      <x:c r="AC776" s="26"/>
      <x:c r="AD776" s="26"/>
      <x:c r="AE776" s="26"/>
      <x:c r="AF776" s="26"/>
      <x:c r="AG776" s="26"/>
      <x:c r="AH776" s="26"/>
      <x:c r="AI776" s="26"/>
      <x:c r="AJ776" s="26"/>
      <x:c r="AK776" s="26"/>
      <x:c r="AL776" s="26"/>
      <x:c r="AM776" s="26"/>
    </x:row>
    <x:row r="777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  <x:c r="R777" s="26"/>
      <x:c r="S777" s="26"/>
      <x:c r="T777" s="26"/>
      <x:c r="U777" s="26"/>
      <x:c r="V777" s="26"/>
      <x:c r="W777" s="26"/>
      <x:c r="X777" s="26"/>
      <x:c r="Y777" s="26"/>
      <x:c r="Z777" s="26"/>
      <x:c r="AA777" s="26"/>
      <x:c r="AB777" s="26"/>
      <x:c r="AC777" s="26"/>
      <x:c r="AD777" s="26"/>
      <x:c r="AE777" s="26"/>
      <x:c r="AF777" s="26"/>
      <x:c r="AG777" s="26"/>
      <x:c r="AH777" s="26"/>
      <x:c r="AI777" s="26"/>
      <x:c r="AJ777" s="26"/>
      <x:c r="AK777" s="26"/>
      <x:c r="AL777" s="26"/>
      <x:c r="AM777" s="26"/>
    </x:row>
    <x:row r="778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  <x:c r="R778" s="26"/>
      <x:c r="S778" s="26"/>
      <x:c r="T778" s="26"/>
      <x:c r="U778" s="26"/>
      <x:c r="V778" s="26"/>
      <x:c r="W778" s="26"/>
      <x:c r="X778" s="26"/>
      <x:c r="Y778" s="26"/>
      <x:c r="Z778" s="26"/>
      <x:c r="AA778" s="26"/>
      <x:c r="AB778" s="26"/>
      <x:c r="AC778" s="26"/>
      <x:c r="AD778" s="26"/>
      <x:c r="AE778" s="26"/>
      <x:c r="AF778" s="26"/>
      <x:c r="AG778" s="26"/>
      <x:c r="AH778" s="26"/>
      <x:c r="AI778" s="26"/>
      <x:c r="AJ778" s="26"/>
      <x:c r="AK778" s="26"/>
      <x:c r="AL778" s="26"/>
      <x:c r="AM778" s="26"/>
    </x:row>
    <x:row r="779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  <x:c r="R779" s="26"/>
      <x:c r="S779" s="26"/>
      <x:c r="T779" s="26"/>
      <x:c r="U779" s="26"/>
      <x:c r="V779" s="26"/>
      <x:c r="W779" s="26"/>
      <x:c r="X779" s="26"/>
      <x:c r="Y779" s="26"/>
      <x:c r="Z779" s="26"/>
      <x:c r="AA779" s="26"/>
      <x:c r="AB779" s="26"/>
      <x:c r="AC779" s="26"/>
      <x:c r="AD779" s="26"/>
      <x:c r="AE779" s="26"/>
      <x:c r="AF779" s="26"/>
      <x:c r="AG779" s="26"/>
      <x:c r="AH779" s="26"/>
      <x:c r="AI779" s="26"/>
      <x:c r="AJ779" s="26"/>
      <x:c r="AK779" s="26"/>
      <x:c r="AL779" s="26"/>
      <x:c r="AM779" s="26"/>
    </x:row>
    <x:row r="780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  <x:c r="R780" s="26"/>
      <x:c r="S780" s="26"/>
      <x:c r="T780" s="26"/>
      <x:c r="U780" s="26"/>
      <x:c r="V780" s="26"/>
      <x:c r="W780" s="26"/>
      <x:c r="X780" s="26"/>
      <x:c r="Y780" s="26"/>
      <x:c r="Z780" s="26"/>
      <x:c r="AA780" s="26"/>
      <x:c r="AB780" s="26"/>
      <x:c r="AC780" s="26"/>
      <x:c r="AD780" s="26"/>
      <x:c r="AE780" s="26"/>
      <x:c r="AF780" s="26"/>
      <x:c r="AG780" s="26"/>
      <x:c r="AH780" s="26"/>
      <x:c r="AI780" s="26"/>
      <x:c r="AJ780" s="26"/>
      <x:c r="AK780" s="26"/>
      <x:c r="AL780" s="26"/>
      <x:c r="AM780" s="26"/>
    </x:row>
    <x:row r="78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  <x:c r="R781" s="26"/>
      <x:c r="S781" s="26"/>
      <x:c r="T781" s="26"/>
      <x:c r="U781" s="26"/>
      <x:c r="V781" s="26"/>
      <x:c r="W781" s="26"/>
      <x:c r="X781" s="26"/>
      <x:c r="Y781" s="26"/>
      <x:c r="Z781" s="26"/>
      <x:c r="AA781" s="26"/>
      <x:c r="AB781" s="26"/>
      <x:c r="AC781" s="26"/>
      <x:c r="AD781" s="26"/>
      <x:c r="AE781" s="26"/>
      <x:c r="AF781" s="26"/>
      <x:c r="AG781" s="26"/>
      <x:c r="AH781" s="26"/>
      <x:c r="AI781" s="26"/>
      <x:c r="AJ781" s="26"/>
      <x:c r="AK781" s="26"/>
      <x:c r="AL781" s="26"/>
      <x:c r="AM781" s="26"/>
    </x:row>
    <x:row r="782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  <x:c r="R782" s="26"/>
      <x:c r="S782" s="26"/>
      <x:c r="T782" s="26"/>
      <x:c r="U782" s="26"/>
      <x:c r="V782" s="26"/>
      <x:c r="W782" s="26"/>
      <x:c r="X782" s="26"/>
      <x:c r="Y782" s="26"/>
      <x:c r="Z782" s="26"/>
      <x:c r="AA782" s="26"/>
      <x:c r="AB782" s="26"/>
      <x:c r="AC782" s="26"/>
      <x:c r="AD782" s="26"/>
      <x:c r="AE782" s="26"/>
      <x:c r="AF782" s="26"/>
      <x:c r="AG782" s="26"/>
      <x:c r="AH782" s="26"/>
      <x:c r="AI782" s="26"/>
      <x:c r="AJ782" s="26"/>
      <x:c r="AK782" s="26"/>
      <x:c r="AL782" s="26"/>
      <x:c r="AM782" s="26"/>
    </x:row>
    <x:row r="783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  <x:c r="R783" s="26"/>
      <x:c r="S783" s="26"/>
      <x:c r="T783" s="26"/>
      <x:c r="U783" s="26"/>
      <x:c r="V783" s="26"/>
      <x:c r="W783" s="26"/>
      <x:c r="X783" s="26"/>
      <x:c r="Y783" s="26"/>
      <x:c r="Z783" s="26"/>
      <x:c r="AA783" s="26"/>
      <x:c r="AB783" s="26"/>
      <x:c r="AC783" s="26"/>
      <x:c r="AD783" s="26"/>
      <x:c r="AE783" s="26"/>
      <x:c r="AF783" s="26"/>
      <x:c r="AG783" s="26"/>
      <x:c r="AH783" s="26"/>
      <x:c r="AI783" s="26"/>
      <x:c r="AJ783" s="26"/>
      <x:c r="AK783" s="26"/>
      <x:c r="AL783" s="26"/>
      <x:c r="AM783" s="26"/>
    </x:row>
    <x:row r="784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  <x:c r="R784" s="26"/>
      <x:c r="S784" s="26"/>
      <x:c r="T784" s="26"/>
      <x:c r="U784" s="26"/>
      <x:c r="V784" s="26"/>
      <x:c r="W784" s="26"/>
      <x:c r="X784" s="26"/>
      <x:c r="Y784" s="26"/>
      <x:c r="Z784" s="26"/>
      <x:c r="AA784" s="26"/>
      <x:c r="AB784" s="26"/>
      <x:c r="AC784" s="26"/>
      <x:c r="AD784" s="26"/>
      <x:c r="AE784" s="26"/>
      <x:c r="AF784" s="26"/>
      <x:c r="AG784" s="26"/>
      <x:c r="AH784" s="26"/>
      <x:c r="AI784" s="26"/>
      <x:c r="AJ784" s="26"/>
      <x:c r="AK784" s="26"/>
      <x:c r="AL784" s="26"/>
      <x:c r="AM784" s="26"/>
    </x:row>
    <x:row r="785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  <x:c r="R785" s="26"/>
      <x:c r="S785" s="26"/>
      <x:c r="T785" s="26"/>
      <x:c r="U785" s="26"/>
      <x:c r="V785" s="26"/>
      <x:c r="W785" s="26"/>
      <x:c r="X785" s="26"/>
      <x:c r="Y785" s="26"/>
      <x:c r="Z785" s="26"/>
      <x:c r="AA785" s="26"/>
      <x:c r="AB785" s="26"/>
      <x:c r="AC785" s="26"/>
      <x:c r="AD785" s="26"/>
      <x:c r="AE785" s="26"/>
      <x:c r="AF785" s="26"/>
      <x:c r="AG785" s="26"/>
      <x:c r="AH785" s="26"/>
      <x:c r="AI785" s="26"/>
      <x:c r="AJ785" s="26"/>
      <x:c r="AK785" s="26"/>
      <x:c r="AL785" s="26"/>
      <x:c r="AM785" s="26"/>
    </x:row>
    <x:row r="786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  <x:c r="R786" s="26"/>
      <x:c r="S786" s="26"/>
      <x:c r="T786" s="26"/>
      <x:c r="U786" s="26"/>
      <x:c r="V786" s="26"/>
      <x:c r="W786" s="26"/>
      <x:c r="X786" s="26"/>
      <x:c r="Y786" s="26"/>
      <x:c r="Z786" s="26"/>
      <x:c r="AA786" s="26"/>
      <x:c r="AB786" s="26"/>
      <x:c r="AC786" s="26"/>
      <x:c r="AD786" s="26"/>
      <x:c r="AE786" s="26"/>
      <x:c r="AF786" s="26"/>
      <x:c r="AG786" s="26"/>
      <x:c r="AH786" s="26"/>
      <x:c r="AI786" s="26"/>
      <x:c r="AJ786" s="26"/>
      <x:c r="AK786" s="26"/>
      <x:c r="AL786" s="26"/>
      <x:c r="AM786" s="26"/>
    </x:row>
    <x:row r="787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  <x:c r="R787" s="26"/>
      <x:c r="S787" s="26"/>
      <x:c r="T787" s="26"/>
      <x:c r="U787" s="26"/>
      <x:c r="V787" s="26"/>
      <x:c r="W787" s="26"/>
      <x:c r="X787" s="26"/>
      <x:c r="Y787" s="26"/>
      <x:c r="Z787" s="26"/>
      <x:c r="AA787" s="26"/>
      <x:c r="AB787" s="26"/>
      <x:c r="AC787" s="26"/>
      <x:c r="AD787" s="26"/>
      <x:c r="AE787" s="26"/>
      <x:c r="AF787" s="26"/>
      <x:c r="AG787" s="26"/>
      <x:c r="AH787" s="26"/>
      <x:c r="AI787" s="26"/>
      <x:c r="AJ787" s="26"/>
      <x:c r="AK787" s="26"/>
      <x:c r="AL787" s="26"/>
      <x:c r="AM787" s="26"/>
    </x:row>
    <x:row r="788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  <x:c r="R788" s="26"/>
      <x:c r="S788" s="26"/>
      <x:c r="T788" s="26"/>
      <x:c r="U788" s="26"/>
      <x:c r="V788" s="26"/>
      <x:c r="W788" s="26"/>
      <x:c r="X788" s="26"/>
      <x:c r="Y788" s="26"/>
      <x:c r="Z788" s="26"/>
      <x:c r="AA788" s="26"/>
      <x:c r="AB788" s="26"/>
      <x:c r="AC788" s="26"/>
      <x:c r="AD788" s="26"/>
      <x:c r="AE788" s="26"/>
      <x:c r="AF788" s="26"/>
      <x:c r="AG788" s="26"/>
      <x:c r="AH788" s="26"/>
      <x:c r="AI788" s="26"/>
      <x:c r="AJ788" s="26"/>
      <x:c r="AK788" s="26"/>
      <x:c r="AL788" s="26"/>
      <x:c r="AM788" s="26"/>
    </x:row>
    <x:row r="789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  <x:c r="R789" s="26"/>
      <x:c r="S789" s="26"/>
      <x:c r="T789" s="26"/>
      <x:c r="U789" s="26"/>
      <x:c r="V789" s="26"/>
      <x:c r="W789" s="26"/>
      <x:c r="X789" s="26"/>
      <x:c r="Y789" s="26"/>
      <x:c r="Z789" s="26"/>
      <x:c r="AA789" s="26"/>
      <x:c r="AB789" s="26"/>
      <x:c r="AC789" s="26"/>
      <x:c r="AD789" s="26"/>
      <x:c r="AE789" s="26"/>
      <x:c r="AF789" s="26"/>
      <x:c r="AG789" s="26"/>
      <x:c r="AH789" s="26"/>
      <x:c r="AI789" s="26"/>
      <x:c r="AJ789" s="26"/>
      <x:c r="AK789" s="26"/>
      <x:c r="AL789" s="26"/>
      <x:c r="AM789" s="26"/>
    </x:row>
    <x:row r="790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  <x:c r="R790" s="26"/>
      <x:c r="S790" s="26"/>
      <x:c r="T790" s="26"/>
      <x:c r="U790" s="26"/>
      <x:c r="V790" s="26"/>
      <x:c r="W790" s="26"/>
      <x:c r="X790" s="26"/>
      <x:c r="Y790" s="26"/>
      <x:c r="Z790" s="26"/>
      <x:c r="AA790" s="26"/>
      <x:c r="AB790" s="26"/>
      <x:c r="AC790" s="26"/>
      <x:c r="AD790" s="26"/>
      <x:c r="AE790" s="26"/>
      <x:c r="AF790" s="26"/>
      <x:c r="AG790" s="26"/>
      <x:c r="AH790" s="26"/>
      <x:c r="AI790" s="26"/>
      <x:c r="AJ790" s="26"/>
      <x:c r="AK790" s="26"/>
      <x:c r="AL790" s="26"/>
      <x:c r="AM790" s="26"/>
    </x:row>
    <x:row r="79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  <x:c r="R791" s="26"/>
      <x:c r="S791" s="26"/>
      <x:c r="T791" s="26"/>
      <x:c r="U791" s="26"/>
      <x:c r="V791" s="26"/>
      <x:c r="W791" s="26"/>
      <x:c r="X791" s="26"/>
      <x:c r="Y791" s="26"/>
      <x:c r="Z791" s="26"/>
      <x:c r="AA791" s="26"/>
      <x:c r="AB791" s="26"/>
      <x:c r="AC791" s="26"/>
      <x:c r="AD791" s="26"/>
      <x:c r="AE791" s="26"/>
      <x:c r="AF791" s="26"/>
      <x:c r="AG791" s="26"/>
      <x:c r="AH791" s="26"/>
      <x:c r="AI791" s="26"/>
      <x:c r="AJ791" s="26"/>
      <x:c r="AK791" s="26"/>
      <x:c r="AL791" s="26"/>
      <x:c r="AM791" s="26"/>
    </x:row>
    <x:row r="792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  <x:c r="R792" s="26"/>
      <x:c r="S792" s="26"/>
      <x:c r="T792" s="26"/>
      <x:c r="U792" s="26"/>
      <x:c r="V792" s="26"/>
      <x:c r="W792" s="26"/>
      <x:c r="X792" s="26"/>
      <x:c r="Y792" s="26"/>
      <x:c r="Z792" s="26"/>
      <x:c r="AA792" s="26"/>
      <x:c r="AB792" s="26"/>
      <x:c r="AC792" s="26"/>
      <x:c r="AD792" s="26"/>
      <x:c r="AE792" s="26"/>
      <x:c r="AF792" s="26"/>
      <x:c r="AG792" s="26"/>
      <x:c r="AH792" s="26"/>
      <x:c r="AI792" s="26"/>
      <x:c r="AJ792" s="26"/>
      <x:c r="AK792" s="26"/>
      <x:c r="AL792" s="26"/>
      <x:c r="AM792" s="26"/>
    </x:row>
    <x:row r="793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  <x:c r="R793" s="26"/>
      <x:c r="S793" s="26"/>
      <x:c r="T793" s="26"/>
      <x:c r="U793" s="26"/>
      <x:c r="V793" s="26"/>
      <x:c r="W793" s="26"/>
      <x:c r="X793" s="26"/>
      <x:c r="Y793" s="26"/>
      <x:c r="Z793" s="26"/>
      <x:c r="AA793" s="26"/>
      <x:c r="AB793" s="26"/>
      <x:c r="AC793" s="26"/>
      <x:c r="AD793" s="26"/>
      <x:c r="AE793" s="26"/>
      <x:c r="AF793" s="26"/>
      <x:c r="AG793" s="26"/>
      <x:c r="AH793" s="26"/>
      <x:c r="AI793" s="26"/>
      <x:c r="AJ793" s="26"/>
      <x:c r="AK793" s="26"/>
      <x:c r="AL793" s="26"/>
      <x:c r="AM793" s="26"/>
    </x:row>
    <x:row r="794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  <x:c r="R794" s="26"/>
      <x:c r="S794" s="26"/>
      <x:c r="T794" s="26"/>
      <x:c r="U794" s="26"/>
      <x:c r="V794" s="26"/>
      <x:c r="W794" s="26"/>
      <x:c r="X794" s="26"/>
      <x:c r="Y794" s="26"/>
      <x:c r="Z794" s="26"/>
      <x:c r="AA794" s="26"/>
      <x:c r="AB794" s="26"/>
      <x:c r="AC794" s="26"/>
      <x:c r="AD794" s="26"/>
      <x:c r="AE794" s="26"/>
      <x:c r="AF794" s="26"/>
      <x:c r="AG794" s="26"/>
      <x:c r="AH794" s="26"/>
      <x:c r="AI794" s="26"/>
      <x:c r="AJ794" s="26"/>
      <x:c r="AK794" s="26"/>
      <x:c r="AL794" s="26"/>
      <x:c r="AM794" s="26"/>
    </x:row>
    <x:row r="795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  <x:c r="R795" s="26"/>
      <x:c r="S795" s="26"/>
      <x:c r="T795" s="26"/>
      <x:c r="U795" s="26"/>
      <x:c r="V795" s="26"/>
      <x:c r="W795" s="26"/>
      <x:c r="X795" s="26"/>
      <x:c r="Y795" s="26"/>
      <x:c r="Z795" s="26"/>
      <x:c r="AA795" s="26"/>
      <x:c r="AB795" s="26"/>
      <x:c r="AC795" s="26"/>
      <x:c r="AD795" s="26"/>
      <x:c r="AE795" s="26"/>
      <x:c r="AF795" s="26"/>
      <x:c r="AG795" s="26"/>
      <x:c r="AH795" s="26"/>
      <x:c r="AI795" s="26"/>
      <x:c r="AJ795" s="26"/>
      <x:c r="AK795" s="26"/>
      <x:c r="AL795" s="26"/>
      <x:c r="AM795" s="26"/>
    </x:row>
    <x:row r="796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  <x:c r="R796" s="26"/>
      <x:c r="S796" s="26"/>
      <x:c r="T796" s="26"/>
      <x:c r="U796" s="26"/>
      <x:c r="V796" s="26"/>
      <x:c r="W796" s="26"/>
      <x:c r="X796" s="26"/>
      <x:c r="Y796" s="26"/>
      <x:c r="Z796" s="26"/>
      <x:c r="AA796" s="26"/>
      <x:c r="AB796" s="26"/>
      <x:c r="AC796" s="26"/>
      <x:c r="AD796" s="26"/>
      <x:c r="AE796" s="26"/>
      <x:c r="AF796" s="26"/>
      <x:c r="AG796" s="26"/>
      <x:c r="AH796" s="26"/>
      <x:c r="AI796" s="26"/>
      <x:c r="AJ796" s="26"/>
      <x:c r="AK796" s="26"/>
      <x:c r="AL796" s="26"/>
      <x:c r="AM796" s="26"/>
    </x:row>
    <x:row r="797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  <x:c r="R797" s="26"/>
      <x:c r="S797" s="26"/>
      <x:c r="T797" s="26"/>
      <x:c r="U797" s="26"/>
      <x:c r="V797" s="26"/>
      <x:c r="W797" s="26"/>
      <x:c r="X797" s="26"/>
      <x:c r="Y797" s="26"/>
      <x:c r="Z797" s="26"/>
      <x:c r="AA797" s="26"/>
      <x:c r="AB797" s="26"/>
      <x:c r="AC797" s="26"/>
      <x:c r="AD797" s="26"/>
      <x:c r="AE797" s="26"/>
      <x:c r="AF797" s="26"/>
      <x:c r="AG797" s="26"/>
      <x:c r="AH797" s="26"/>
      <x:c r="AI797" s="26"/>
      <x:c r="AJ797" s="26"/>
      <x:c r="AK797" s="26"/>
      <x:c r="AL797" s="26"/>
      <x:c r="AM797" s="26"/>
    </x:row>
    <x:row r="798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  <x:c r="R798" s="26"/>
      <x:c r="S798" s="26"/>
      <x:c r="T798" s="26"/>
      <x:c r="U798" s="26"/>
      <x:c r="V798" s="26"/>
      <x:c r="W798" s="26"/>
      <x:c r="X798" s="26"/>
      <x:c r="Y798" s="26"/>
      <x:c r="Z798" s="26"/>
      <x:c r="AA798" s="26"/>
      <x:c r="AB798" s="26"/>
      <x:c r="AC798" s="26"/>
      <x:c r="AD798" s="26"/>
      <x:c r="AE798" s="26"/>
      <x:c r="AF798" s="26"/>
      <x:c r="AG798" s="26"/>
      <x:c r="AH798" s="26"/>
      <x:c r="AI798" s="26"/>
      <x:c r="AJ798" s="26"/>
      <x:c r="AK798" s="26"/>
      <x:c r="AL798" s="26"/>
      <x:c r="AM798" s="26"/>
    </x:row>
    <x:row r="799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  <x:c r="R799" s="26"/>
      <x:c r="S799" s="26"/>
      <x:c r="T799" s="26"/>
      <x:c r="U799" s="26"/>
      <x:c r="V799" s="26"/>
      <x:c r="W799" s="26"/>
      <x:c r="X799" s="26"/>
      <x:c r="Y799" s="26"/>
      <x:c r="Z799" s="26"/>
      <x:c r="AA799" s="26"/>
      <x:c r="AB799" s="26"/>
      <x:c r="AC799" s="26"/>
      <x:c r="AD799" s="26"/>
      <x:c r="AE799" s="26"/>
      <x:c r="AF799" s="26"/>
      <x:c r="AG799" s="26"/>
      <x:c r="AH799" s="26"/>
      <x:c r="AI799" s="26"/>
      <x:c r="AJ799" s="26"/>
      <x:c r="AK799" s="26"/>
      <x:c r="AL799" s="26"/>
      <x:c r="AM799" s="26"/>
    </x:row>
    <x:row r="800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  <x:c r="R800" s="26"/>
      <x:c r="S800" s="26"/>
      <x:c r="T800" s="26"/>
      <x:c r="U800" s="26"/>
      <x:c r="V800" s="26"/>
      <x:c r="W800" s="26"/>
      <x:c r="X800" s="26"/>
      <x:c r="Y800" s="26"/>
      <x:c r="Z800" s="26"/>
      <x:c r="AA800" s="26"/>
      <x:c r="AB800" s="26"/>
      <x:c r="AC800" s="26"/>
      <x:c r="AD800" s="26"/>
      <x:c r="AE800" s="26"/>
      <x:c r="AF800" s="26"/>
      <x:c r="AG800" s="26"/>
      <x:c r="AH800" s="26"/>
      <x:c r="AI800" s="26"/>
      <x:c r="AJ800" s="26"/>
      <x:c r="AK800" s="26"/>
      <x:c r="AL800" s="26"/>
      <x:c r="AM800" s="26"/>
    </x:row>
    <x:row r="80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  <x:c r="R801" s="26"/>
      <x:c r="S801" s="26"/>
      <x:c r="T801" s="26"/>
      <x:c r="U801" s="26"/>
      <x:c r="V801" s="26"/>
      <x:c r="W801" s="26"/>
      <x:c r="X801" s="26"/>
      <x:c r="Y801" s="26"/>
      <x:c r="Z801" s="26"/>
      <x:c r="AA801" s="26"/>
      <x:c r="AB801" s="26"/>
      <x:c r="AC801" s="26"/>
      <x:c r="AD801" s="26"/>
      <x:c r="AE801" s="26"/>
      <x:c r="AF801" s="26"/>
      <x:c r="AG801" s="26"/>
      <x:c r="AH801" s="26"/>
      <x:c r="AI801" s="26"/>
      <x:c r="AJ801" s="26"/>
      <x:c r="AK801" s="26"/>
      <x:c r="AL801" s="26"/>
      <x:c r="AM801" s="26"/>
    </x:row>
    <x:row r="802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  <x:c r="R802" s="26"/>
      <x:c r="S802" s="26"/>
      <x:c r="T802" s="26"/>
      <x:c r="U802" s="26"/>
      <x:c r="V802" s="26"/>
      <x:c r="W802" s="26"/>
      <x:c r="X802" s="26"/>
      <x:c r="Y802" s="26"/>
      <x:c r="Z802" s="26"/>
      <x:c r="AA802" s="26"/>
      <x:c r="AB802" s="26"/>
      <x:c r="AC802" s="26"/>
      <x:c r="AD802" s="26"/>
      <x:c r="AE802" s="26"/>
      <x:c r="AF802" s="26"/>
      <x:c r="AG802" s="26"/>
      <x:c r="AH802" s="26"/>
      <x:c r="AI802" s="26"/>
      <x:c r="AJ802" s="26"/>
      <x:c r="AK802" s="26"/>
      <x:c r="AL802" s="26"/>
      <x:c r="AM802" s="26"/>
    </x:row>
    <x:row r="803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  <x:c r="R803" s="26"/>
      <x:c r="S803" s="26"/>
      <x:c r="T803" s="26"/>
      <x:c r="U803" s="26"/>
      <x:c r="V803" s="26"/>
      <x:c r="W803" s="26"/>
      <x:c r="X803" s="26"/>
      <x:c r="Y803" s="26"/>
      <x:c r="Z803" s="26"/>
      <x:c r="AA803" s="26"/>
      <x:c r="AB803" s="26"/>
      <x:c r="AC803" s="26"/>
      <x:c r="AD803" s="26"/>
      <x:c r="AE803" s="26"/>
      <x:c r="AF803" s="26"/>
      <x:c r="AG803" s="26"/>
      <x:c r="AH803" s="26"/>
      <x:c r="AI803" s="26"/>
      <x:c r="AJ803" s="26"/>
      <x:c r="AK803" s="26"/>
      <x:c r="AL803" s="26"/>
      <x:c r="AM803" s="26"/>
    </x:row>
    <x:row r="804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  <x:c r="R804" s="26"/>
      <x:c r="S804" s="26"/>
      <x:c r="T804" s="26"/>
      <x:c r="U804" s="26"/>
      <x:c r="V804" s="26"/>
      <x:c r="W804" s="26"/>
      <x:c r="X804" s="26"/>
      <x:c r="Y804" s="26"/>
      <x:c r="Z804" s="26"/>
      <x:c r="AA804" s="26"/>
      <x:c r="AB804" s="26"/>
      <x:c r="AC804" s="26"/>
      <x:c r="AD804" s="26"/>
      <x:c r="AE804" s="26"/>
      <x:c r="AF804" s="26"/>
      <x:c r="AG804" s="26"/>
      <x:c r="AH804" s="26"/>
      <x:c r="AI804" s="26"/>
      <x:c r="AJ804" s="26"/>
      <x:c r="AK804" s="26"/>
      <x:c r="AL804" s="26"/>
      <x:c r="AM804" s="26"/>
    </x:row>
    <x:row r="805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  <x:c r="R805" s="26"/>
      <x:c r="S805" s="26"/>
      <x:c r="T805" s="26"/>
      <x:c r="U805" s="26"/>
      <x:c r="V805" s="26"/>
      <x:c r="W805" s="26"/>
      <x:c r="X805" s="26"/>
      <x:c r="Y805" s="26"/>
      <x:c r="Z805" s="26"/>
      <x:c r="AA805" s="26"/>
      <x:c r="AB805" s="26"/>
      <x:c r="AC805" s="26"/>
      <x:c r="AD805" s="26"/>
      <x:c r="AE805" s="26"/>
      <x:c r="AF805" s="26"/>
      <x:c r="AG805" s="26"/>
      <x:c r="AH805" s="26"/>
      <x:c r="AI805" s="26"/>
      <x:c r="AJ805" s="26"/>
      <x:c r="AK805" s="26"/>
      <x:c r="AL805" s="26"/>
      <x:c r="AM805" s="26"/>
    </x:row>
    <x:row r="806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  <x:c r="R806" s="26"/>
      <x:c r="S806" s="26"/>
      <x:c r="T806" s="26"/>
      <x:c r="U806" s="26"/>
      <x:c r="V806" s="26"/>
      <x:c r="W806" s="26"/>
      <x:c r="X806" s="26"/>
      <x:c r="Y806" s="26"/>
      <x:c r="Z806" s="26"/>
      <x:c r="AA806" s="26"/>
      <x:c r="AB806" s="26"/>
      <x:c r="AC806" s="26"/>
      <x:c r="AD806" s="26"/>
      <x:c r="AE806" s="26"/>
      <x:c r="AF806" s="26"/>
      <x:c r="AG806" s="26"/>
      <x:c r="AH806" s="26"/>
      <x:c r="AI806" s="26"/>
      <x:c r="AJ806" s="26"/>
      <x:c r="AK806" s="26"/>
      <x:c r="AL806" s="26"/>
      <x:c r="AM806" s="26"/>
    </x:row>
    <x:row r="807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  <x:c r="R807" s="26"/>
      <x:c r="S807" s="26"/>
      <x:c r="T807" s="26"/>
      <x:c r="U807" s="26"/>
      <x:c r="V807" s="26"/>
      <x:c r="W807" s="26"/>
      <x:c r="X807" s="26"/>
      <x:c r="Y807" s="26"/>
      <x:c r="Z807" s="26"/>
      <x:c r="AA807" s="26"/>
      <x:c r="AB807" s="26"/>
      <x:c r="AC807" s="26"/>
      <x:c r="AD807" s="26"/>
      <x:c r="AE807" s="26"/>
      <x:c r="AF807" s="26"/>
      <x:c r="AG807" s="26"/>
      <x:c r="AH807" s="26"/>
      <x:c r="AI807" s="26"/>
      <x:c r="AJ807" s="26"/>
      <x:c r="AK807" s="26"/>
      <x:c r="AL807" s="26"/>
      <x:c r="AM807" s="26"/>
    </x:row>
    <x:row r="808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  <x:c r="R808" s="26"/>
      <x:c r="S808" s="26"/>
      <x:c r="T808" s="26"/>
      <x:c r="U808" s="26"/>
      <x:c r="V808" s="26"/>
      <x:c r="W808" s="26"/>
      <x:c r="X808" s="26"/>
      <x:c r="Y808" s="26"/>
      <x:c r="Z808" s="26"/>
      <x:c r="AA808" s="26"/>
      <x:c r="AB808" s="26"/>
      <x:c r="AC808" s="26"/>
      <x:c r="AD808" s="26"/>
      <x:c r="AE808" s="26"/>
      <x:c r="AF808" s="26"/>
      <x:c r="AG808" s="26"/>
      <x:c r="AH808" s="26"/>
      <x:c r="AI808" s="26"/>
      <x:c r="AJ808" s="26"/>
      <x:c r="AK808" s="26"/>
      <x:c r="AL808" s="26"/>
      <x:c r="AM808" s="26"/>
    </x:row>
    <x:row r="809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  <x:c r="R809" s="26"/>
      <x:c r="S809" s="26"/>
      <x:c r="T809" s="26"/>
      <x:c r="U809" s="26"/>
      <x:c r="V809" s="26"/>
      <x:c r="W809" s="26"/>
      <x:c r="X809" s="26"/>
      <x:c r="Y809" s="26"/>
      <x:c r="Z809" s="26"/>
      <x:c r="AA809" s="26"/>
      <x:c r="AB809" s="26"/>
      <x:c r="AC809" s="26"/>
      <x:c r="AD809" s="26"/>
      <x:c r="AE809" s="26"/>
      <x:c r="AF809" s="26"/>
      <x:c r="AG809" s="26"/>
      <x:c r="AH809" s="26"/>
      <x:c r="AI809" s="26"/>
      <x:c r="AJ809" s="26"/>
      <x:c r="AK809" s="26"/>
      <x:c r="AL809" s="26"/>
      <x:c r="AM809" s="26"/>
    </x:row>
    <x:row r="810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  <x:c r="R810" s="26"/>
      <x:c r="S810" s="26"/>
      <x:c r="T810" s="26"/>
      <x:c r="U810" s="26"/>
      <x:c r="V810" s="26"/>
      <x:c r="W810" s="26"/>
      <x:c r="X810" s="26"/>
      <x:c r="Y810" s="26"/>
      <x:c r="Z810" s="26"/>
      <x:c r="AA810" s="26"/>
      <x:c r="AB810" s="26"/>
      <x:c r="AC810" s="26"/>
      <x:c r="AD810" s="26"/>
      <x:c r="AE810" s="26"/>
      <x:c r="AF810" s="26"/>
      <x:c r="AG810" s="26"/>
      <x:c r="AH810" s="26"/>
      <x:c r="AI810" s="26"/>
      <x:c r="AJ810" s="26"/>
      <x:c r="AK810" s="26"/>
      <x:c r="AL810" s="26"/>
      <x:c r="AM810" s="26"/>
    </x:row>
    <x:row r="81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  <x:c r="R811" s="26"/>
      <x:c r="S811" s="26"/>
      <x:c r="T811" s="26"/>
      <x:c r="U811" s="26"/>
      <x:c r="V811" s="26"/>
      <x:c r="W811" s="26"/>
      <x:c r="X811" s="26"/>
      <x:c r="Y811" s="26"/>
      <x:c r="Z811" s="26"/>
      <x:c r="AA811" s="26"/>
      <x:c r="AB811" s="26"/>
      <x:c r="AC811" s="26"/>
      <x:c r="AD811" s="26"/>
      <x:c r="AE811" s="26"/>
      <x:c r="AF811" s="26"/>
      <x:c r="AG811" s="26"/>
      <x:c r="AH811" s="26"/>
      <x:c r="AI811" s="26"/>
      <x:c r="AJ811" s="26"/>
      <x:c r="AK811" s="26"/>
      <x:c r="AL811" s="26"/>
      <x:c r="AM811" s="26"/>
    </x:row>
    <x:row r="812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  <x:c r="R812" s="26"/>
      <x:c r="S812" s="26"/>
      <x:c r="T812" s="26"/>
      <x:c r="U812" s="26"/>
      <x:c r="V812" s="26"/>
      <x:c r="W812" s="26"/>
      <x:c r="X812" s="26"/>
      <x:c r="Y812" s="26"/>
      <x:c r="Z812" s="26"/>
      <x:c r="AA812" s="26"/>
      <x:c r="AB812" s="26"/>
      <x:c r="AC812" s="26"/>
      <x:c r="AD812" s="26"/>
      <x:c r="AE812" s="26"/>
      <x:c r="AF812" s="26"/>
      <x:c r="AG812" s="26"/>
      <x:c r="AH812" s="26"/>
      <x:c r="AI812" s="26"/>
      <x:c r="AJ812" s="26"/>
      <x:c r="AK812" s="26"/>
      <x:c r="AL812" s="26"/>
      <x:c r="AM812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3" t="str">
        <x:v>Column 1</x:v>
      </x:c>
      <x:c r="B1" s="23" t="str">
        <x:v>Tên QA</x:v>
      </x:c>
      <x:c r="C1" s="23" t="str">
        <x:v>Tên CSO</x:v>
      </x:c>
      <x:c r="D1" s="23" t="str">
        <x:v>Số extension</x:v>
      </x:c>
      <x:c r="E1" s="23" t="str">
        <x:v>Ngày chấm </x:v>
      </x:c>
      <x:c r="F1" s="23" t="str">
        <x:v>ID Call</x:v>
      </x:c>
      <x:c r="G1" s="23" t="str">
        <x:v>Thời điểm</x:v>
      </x:c>
      <x:c r="H1" s="23" t="str">
        <x:v>Thời lượng</x:v>
      </x:c>
      <x:c r="I1" s="23" t="str">
        <x:v>Số điện thoại</x:v>
      </x:c>
      <x:c r="J1" s="23" t="str">
        <x:v>Số HĐ</x:v>
      </x:c>
      <x:c r="K1" s="23" t="str">
        <x:v>Nội dung cuộc gọi</x:v>
      </x:c>
      <x:c r="L1" s="23" t="str">
        <x:v>Chào KH</x:v>
      </x:c>
      <x:c r="M1" s="23" t="str">
        <x:v>Giới thiệu mục đích cuộc gọi</x:v>
      </x:c>
      <x:c r="N1" s="23" t="str">
        <x:v>Âm lượng</x:v>
      </x:c>
      <x:c r="O1" s="23" t="str">
        <x:v>Phát âm</x:v>
      </x:c>
      <x:c r="P1" s="23" t="str">
        <x:v>Tốc độ giao tiếp</x:v>
      </x:c>
      <x:c r="Q1" s="23" t="str">
        <x:v>Ngôn ngữ phổ thông, dễ hiểu</x:v>
      </x:c>
      <x:c r="R1" s="23" t="str">
        <x:v>Dùng từ "vui lòng" hợp lý</x:v>
      </x:c>
      <x:c r="S1" s="23" t="str">
        <x:v>Ngôn từ chuẩn mực, biết cách nói "không" với KH</x:v>
      </x:c>
      <x:c r="T1" s="23" t="str">
        <x:v>Lắng nghe</x:v>
      </x:c>
      <x:c r="U1" s="23" t="str">
        <x:v>Lịch sự, chuyên nghiệp</x:v>
      </x:c>
      <x:c r="V1" s="23" t="str">
        <x:v>Thái độ</x:v>
      </x:c>
      <x:c r="W1" s="23" t="str">
        <x:v>Thấu cảm</x:v>
      </x:c>
      <x:c r="X1" s="23" t="str">
        <x:v>Xin lỗi KH khi cần thiết</x:v>
      </x:c>
      <x:c r="Y1" s="23" t="str">
        <x:v>Cảm ơn KH khi cần thiết</x:v>
      </x:c>
      <x:c r="Z1" s="23" t="str">
        <x:v>Quản lý/ Định hướng cuộc gọi</x:v>
      </x:c>
      <x:c r="AA1" s="23" t="str">
        <x:v>Nắm bắt ý kiến KH</x:v>
      </x:c>
      <x:c r="AB1" s="23" t="str">
        <x:v>Nắm vững kiến thức sản phẩm</x:v>
      </x:c>
      <x:c r="AC1" s="23" t="str">
        <x:v>Thực hiện chính xác kịch bản</x:v>
      </x:c>
      <x:c r="AD1" s="23" t="str">
        <x:v>Hỏi KH mục đích vay vốn</x:v>
      </x:c>
      <x:c r="AE1" s="23" t="str">
        <x:v>Hỏi KH có hài lòng/góp ý cho Công ty</x:v>
      </x:c>
      <x:c r="AF1" s="23" t="str">
        <x:v>Hỏi KH có cần hỗ trợ thông tin gì khác không</x:v>
      </x:c>
      <x:c r="AG1" s="23" t="str">
        <x:v>Nếu cần hỗ trợ, gọi lại vào số tổng đài</x:v>
      </x:c>
      <x:c r="AH1" s="23" t="str">
        <x:v>Cảm ơn và chào KH</x:v>
      </x:c>
      <x:c r="AI1" s="23" t="str">
        <x:v>Điểm mạnh</x:v>
      </x:c>
      <x:c r="AJ1" s="23" t="str">
        <x:v>Điểm cần cải thiện</x:v>
      </x:c>
      <x:c r="AK1" s="23" t="str">
        <x:v>Column 37</x:v>
      </x:c>
      <x:c r="AL1" s="23" t="str">
        <x:v>Column 38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 s="26"/>
      <x:c r="AK2" s="26"/>
      <x:c r="AL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  <x:c r="AL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  <x:c r="AA5" s="26"/>
      <x:c r="AB5" s="26"/>
      <x:c r="AC5" s="26"/>
      <x:c r="AD5" s="26"/>
      <x:c r="AE5" s="26"/>
      <x:c r="AF5" s="26"/>
      <x:c r="AG5" s="26"/>
      <x:c r="AH5" s="26"/>
      <x:c r="AI5" s="26"/>
      <x:c r="AJ5" s="26"/>
      <x:c r="AK5" s="26"/>
      <x:c r="AL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26"/>
      <x:c r="AK6" s="26"/>
      <x:c r="AL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  <x:c r="AA7" s="26"/>
      <x:c r="AB7" s="26"/>
      <x:c r="AC7" s="26"/>
      <x:c r="AD7" s="26"/>
      <x:c r="AE7" s="26"/>
      <x:c r="AF7" s="26"/>
      <x:c r="AG7" s="26"/>
      <x:c r="AH7" s="26"/>
      <x:c r="AI7" s="26"/>
      <x:c r="AJ7" s="26"/>
      <x:c r="AK7" s="26"/>
      <x:c r="AL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  <x:c r="AA8" s="26"/>
      <x:c r="AB8" s="26"/>
      <x:c r="AC8" s="26"/>
      <x:c r="AD8" s="26"/>
      <x:c r="AE8" s="26"/>
      <x:c r="AF8" s="26"/>
      <x:c r="AG8" s="26"/>
      <x:c r="AH8" s="26"/>
      <x:c r="AI8" s="26"/>
      <x:c r="AJ8" s="26"/>
      <x:c r="AK8" s="26"/>
      <x:c r="AL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  <x:c r="AF9" s="26"/>
      <x:c r="AG9" s="26"/>
      <x:c r="AH9" s="26"/>
      <x:c r="AI9" s="26"/>
      <x:c r="AJ9" s="26"/>
      <x:c r="AK9" s="26"/>
      <x:c r="AL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  <x:c r="AA10" s="26"/>
      <x:c r="AB10" s="26"/>
      <x:c r="AC10" s="26"/>
      <x:c r="AD10" s="26"/>
      <x:c r="AE10" s="26"/>
      <x:c r="AF10" s="26"/>
      <x:c r="AG10" s="26"/>
      <x:c r="AH10" s="26"/>
      <x:c r="AI10" s="26"/>
      <x:c r="AJ10" s="26"/>
      <x:c r="AK10" s="26"/>
      <x:c r="AL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  <x:c r="AA11" s="26"/>
      <x:c r="AB11" s="26"/>
      <x:c r="AC11" s="26"/>
      <x:c r="AD11" s="26"/>
      <x:c r="AE11" s="26"/>
      <x:c r="AF11" s="26"/>
      <x:c r="AG11" s="26"/>
      <x:c r="AH11" s="26"/>
      <x:c r="AI11" s="26"/>
      <x:c r="AJ11" s="26"/>
      <x:c r="AK11" s="26"/>
      <x:c r="AL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  <x:c r="AA12" s="26"/>
      <x:c r="AB12" s="26"/>
      <x:c r="AC12" s="26"/>
      <x:c r="AD12" s="26"/>
      <x:c r="AE12" s="26"/>
      <x:c r="AF12" s="26"/>
      <x:c r="AG12" s="26"/>
      <x:c r="AH12" s="26"/>
      <x:c r="AI12" s="26"/>
      <x:c r="AJ12" s="26"/>
      <x:c r="AK12" s="26"/>
      <x:c r="AL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  <x:c r="AA13" s="26"/>
      <x:c r="AB13" s="26"/>
      <x:c r="AC13" s="26"/>
      <x:c r="AD13" s="26"/>
      <x:c r="AE13" s="26"/>
      <x:c r="AF13" s="26"/>
      <x:c r="AG13" s="26"/>
      <x:c r="AH13" s="26"/>
      <x:c r="AI13" s="26"/>
      <x:c r="AJ13" s="26"/>
      <x:c r="AK13" s="26"/>
      <x:c r="AL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  <x:c r="AA14" s="26"/>
      <x:c r="AB14" s="26"/>
      <x:c r="AC14" s="26"/>
      <x:c r="AD14" s="26"/>
      <x:c r="AE14" s="26"/>
      <x:c r="AF14" s="26"/>
      <x:c r="AG14" s="26"/>
      <x:c r="AH14" s="26"/>
      <x:c r="AI14" s="26"/>
      <x:c r="AJ14" s="26"/>
      <x:c r="AK14" s="26"/>
      <x:c r="AL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6"/>
      <x:c r="AK15" s="26"/>
      <x:c r="AL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  <x:c r="AA16" s="26"/>
      <x:c r="AB16" s="26"/>
      <x:c r="AC16" s="26"/>
      <x:c r="AD16" s="26"/>
      <x:c r="AE16" s="26"/>
      <x:c r="AF16" s="26"/>
      <x:c r="AG16" s="26"/>
      <x:c r="AH16" s="26"/>
      <x:c r="AI16" s="26"/>
      <x:c r="AJ16" s="26"/>
      <x:c r="AK16" s="26"/>
      <x:c r="AL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/>
      <x:c r="AI17" s="26"/>
      <x:c r="AJ17" s="26"/>
      <x:c r="AK17" s="26"/>
      <x:c r="AL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  <x:c r="AA18" s="26"/>
      <x:c r="AB18" s="26"/>
      <x:c r="AC18" s="26"/>
      <x:c r="AD18" s="26"/>
      <x:c r="AE18" s="26"/>
      <x:c r="AF18" s="26"/>
      <x:c r="AG18" s="26"/>
      <x:c r="AH18" s="26"/>
      <x:c r="AI18" s="26"/>
      <x:c r="AJ18" s="26"/>
      <x:c r="AK18" s="26"/>
      <x:c r="AL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/>
      <x:c r="AH19" s="26"/>
      <x:c r="AI19" s="26"/>
      <x:c r="AJ19" s="26"/>
      <x:c r="AK19" s="26"/>
      <x:c r="AL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  <x:c r="AA20" s="26"/>
      <x:c r="AB20" s="26"/>
      <x:c r="AC20" s="26"/>
      <x:c r="AD20" s="26"/>
      <x:c r="AE20" s="26"/>
      <x:c r="AF20" s="26"/>
      <x:c r="AG20" s="26"/>
      <x:c r="AH20" s="26"/>
      <x:c r="AI20" s="26"/>
      <x:c r="AJ20" s="26"/>
      <x:c r="AK20" s="26"/>
      <x:c r="AL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  <x:c r="AA21" s="26"/>
      <x:c r="AB21" s="26"/>
      <x:c r="AC21" s="26"/>
      <x:c r="AD21" s="26"/>
      <x:c r="AE21" s="26"/>
      <x:c r="AF21" s="26"/>
      <x:c r="AG21" s="26"/>
      <x:c r="AH21" s="26"/>
      <x:c r="AI21" s="26"/>
      <x:c r="AJ21" s="26"/>
      <x:c r="AK21" s="26"/>
      <x:c r="AL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  <x:c r="AA22" s="26"/>
      <x:c r="AB22" s="26"/>
      <x:c r="AC22" s="26"/>
      <x:c r="AD22" s="26"/>
      <x:c r="AE22" s="26"/>
      <x:c r="AF22" s="26"/>
      <x:c r="AG22" s="26"/>
      <x:c r="AH22" s="26"/>
      <x:c r="AI22" s="26"/>
      <x:c r="AJ22" s="26"/>
      <x:c r="AK22" s="26"/>
      <x:c r="AL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  <x:c r="AD23" s="26"/>
      <x:c r="AE23" s="26"/>
      <x:c r="AF23" s="26"/>
      <x:c r="AG23" s="26"/>
      <x:c r="AH23" s="26"/>
      <x:c r="AI23" s="26"/>
      <x:c r="AJ23" s="26"/>
      <x:c r="AK23" s="26"/>
      <x:c r="AL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  <x:c r="AF25" s="26"/>
      <x:c r="AG25" s="26"/>
      <x:c r="AH25" s="26"/>
      <x:c r="AI25" s="26"/>
      <x:c r="AJ25" s="26"/>
      <x:c r="AK25" s="26"/>
      <x:c r="AL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  <x:c r="AA26" s="26"/>
      <x:c r="AB26" s="26"/>
      <x:c r="AC26" s="26"/>
      <x:c r="AD26" s="26"/>
      <x:c r="AE26" s="26"/>
      <x:c r="AF26" s="26"/>
      <x:c r="AG26" s="26"/>
      <x:c r="AH26" s="26"/>
      <x:c r="AI26" s="26"/>
      <x:c r="AJ26" s="26"/>
      <x:c r="AK26" s="26"/>
      <x:c r="AL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  <x:c r="AA27" s="26"/>
      <x:c r="AB27" s="26"/>
      <x:c r="AC27" s="26"/>
      <x:c r="AD27" s="26"/>
      <x:c r="AE27" s="26"/>
      <x:c r="AF27" s="26"/>
      <x:c r="AG27" s="26"/>
      <x:c r="AH27" s="26"/>
      <x:c r="AI27" s="26"/>
      <x:c r="AJ27" s="26"/>
      <x:c r="AK27" s="26"/>
      <x:c r="AL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  <x:c r="AA28" s="26"/>
      <x:c r="AB28" s="26"/>
      <x:c r="AC28" s="26"/>
      <x:c r="AD28" s="26"/>
      <x:c r="AE28" s="26"/>
      <x:c r="AF28" s="26"/>
      <x:c r="AG28" s="26"/>
      <x:c r="AH28" s="26"/>
      <x:c r="AI28" s="26"/>
      <x:c r="AJ28" s="26"/>
      <x:c r="AK28" s="26"/>
      <x:c r="AL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  <x:c r="AA29" s="26"/>
      <x:c r="AB29" s="26"/>
      <x:c r="AC29" s="26"/>
      <x:c r="AD29" s="26"/>
      <x:c r="AE29" s="26"/>
      <x:c r="AF29" s="26"/>
      <x:c r="AG29" s="26"/>
      <x:c r="AH29" s="26"/>
      <x:c r="AI29" s="26"/>
      <x:c r="AJ29" s="26"/>
      <x:c r="AK29" s="26"/>
      <x:c r="AL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  <x:c r="AA30" s="26"/>
      <x:c r="AB30" s="26"/>
      <x:c r="AC30" s="26"/>
      <x:c r="AD30" s="26"/>
      <x:c r="AE30" s="26"/>
      <x:c r="AF30" s="26"/>
      <x:c r="AG30" s="26"/>
      <x:c r="AH30" s="26"/>
      <x:c r="AI30" s="26"/>
      <x:c r="AJ30" s="26"/>
      <x:c r="AK30" s="26"/>
      <x:c r="AL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  <x:c r="AA31" s="26"/>
      <x:c r="AB31" s="26"/>
      <x:c r="AC31" s="26"/>
      <x:c r="AD31" s="26"/>
      <x:c r="AE31" s="26"/>
      <x:c r="AF31" s="26"/>
      <x:c r="AG31" s="26"/>
      <x:c r="AH31" s="26"/>
      <x:c r="AI31" s="26"/>
      <x:c r="AJ31" s="26"/>
      <x:c r="AK31" s="26"/>
      <x:c r="AL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  <x:c r="AC32" s="26"/>
      <x:c r="AD32" s="26"/>
      <x:c r="AE32" s="26"/>
      <x:c r="AF32" s="26"/>
      <x:c r="AG32" s="26"/>
      <x:c r="AH32" s="26"/>
      <x:c r="AI32" s="26"/>
      <x:c r="AJ32" s="26"/>
      <x:c r="AK32" s="26"/>
      <x:c r="AL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  <x:c r="AA33" s="26"/>
      <x:c r="AB33" s="26"/>
      <x:c r="AC33" s="26"/>
      <x:c r="AD33" s="26"/>
      <x:c r="AE33" s="26"/>
      <x:c r="AF33" s="26"/>
      <x:c r="AG33" s="26"/>
      <x:c r="AH33" s="26"/>
      <x:c r="AI33" s="26"/>
      <x:c r="AJ33" s="26"/>
      <x:c r="AK33" s="26"/>
      <x:c r="AL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  <x:c r="AC34" s="26"/>
      <x:c r="AD34" s="26"/>
      <x:c r="AE34" s="26"/>
      <x:c r="AF34" s="26"/>
      <x:c r="AG34" s="26"/>
      <x:c r="AH34" s="26"/>
      <x:c r="AI34" s="26"/>
      <x:c r="AJ34" s="26"/>
      <x:c r="AK34" s="26"/>
      <x:c r="AL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  <x:c r="AA35" s="26"/>
      <x:c r="AB35" s="26"/>
      <x:c r="AC35" s="26"/>
      <x:c r="AD35" s="26"/>
      <x:c r="AE35" s="26"/>
      <x:c r="AF35" s="26"/>
      <x:c r="AG35" s="26"/>
      <x:c r="AH35" s="26"/>
      <x:c r="AI35" s="26"/>
      <x:c r="AJ35" s="26"/>
      <x:c r="AK35" s="26"/>
      <x:c r="AL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  <x:c r="AC36" s="26"/>
      <x:c r="AD36" s="26"/>
      <x:c r="AE36" s="26"/>
      <x:c r="AF36" s="26"/>
      <x:c r="AG36" s="26"/>
      <x:c r="AH36" s="26"/>
      <x:c r="AI36" s="26"/>
      <x:c r="AJ36" s="26"/>
      <x:c r="AK36" s="26"/>
      <x:c r="AL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6"/>
      <x:c r="AD37" s="26"/>
      <x:c r="AE37" s="26"/>
      <x:c r="AF37" s="26"/>
      <x:c r="AG37" s="26"/>
      <x:c r="AH37" s="26"/>
      <x:c r="AI37" s="26"/>
      <x:c r="AJ37" s="26"/>
      <x:c r="AK37" s="26"/>
      <x:c r="AL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  <x:c r="AC38" s="26"/>
      <x:c r="AD38" s="26"/>
      <x:c r="AE38" s="26"/>
      <x:c r="AF38" s="26"/>
      <x:c r="AG38" s="26"/>
      <x:c r="AH38" s="26"/>
      <x:c r="AI38" s="26"/>
      <x:c r="AJ38" s="26"/>
      <x:c r="AK38" s="26"/>
      <x:c r="AL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  <x:c r="AC39" s="26"/>
      <x:c r="AD39" s="26"/>
      <x:c r="AE39" s="26"/>
      <x:c r="AF39" s="26"/>
      <x:c r="AG39" s="26"/>
      <x:c r="AH39" s="26"/>
      <x:c r="AI39" s="26"/>
      <x:c r="AJ39" s="26"/>
      <x:c r="AK39" s="26"/>
      <x:c r="AL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  <x:c r="AC40" s="26"/>
      <x:c r="AD40" s="26"/>
      <x:c r="AE40" s="26"/>
      <x:c r="AF40" s="26"/>
      <x:c r="AG40" s="26"/>
      <x:c r="AH40" s="26"/>
      <x:c r="AI40" s="26"/>
      <x:c r="AJ40" s="26"/>
      <x:c r="AK40" s="26"/>
      <x:c r="AL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  <x:c r="AG41" s="26"/>
      <x:c r="AH41" s="26"/>
      <x:c r="AI41" s="26"/>
      <x:c r="AJ41" s="26"/>
      <x:c r="AK41" s="26"/>
      <x:c r="AL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  <x:c r="AG42" s="26"/>
      <x:c r="AH42" s="26"/>
      <x:c r="AI42" s="26"/>
      <x:c r="AJ42" s="26"/>
      <x:c r="AK42" s="26"/>
      <x:c r="AL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  <x:c r="AG43" s="26"/>
      <x:c r="AH43" s="26"/>
      <x:c r="AI43" s="26"/>
      <x:c r="AJ43" s="26"/>
      <x:c r="AK43" s="26"/>
      <x:c r="AL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  <x:c r="AF44" s="26"/>
      <x:c r="AG44" s="26"/>
      <x:c r="AH44" s="26"/>
      <x:c r="AI44" s="26"/>
      <x:c r="AJ44" s="26"/>
      <x:c r="AK44" s="26"/>
      <x:c r="AL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26"/>
      <x:c r="AG45" s="26"/>
      <x:c r="AH45" s="26"/>
      <x:c r="AI45" s="26"/>
      <x:c r="AJ45" s="26"/>
      <x:c r="AK45" s="26"/>
      <x:c r="AL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  <x:c r="AG46" s="26"/>
      <x:c r="AH46" s="26"/>
      <x:c r="AI46" s="26"/>
      <x:c r="AJ46" s="26"/>
      <x:c r="AK46" s="26"/>
      <x:c r="AL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  <x:c r="AA47" s="26"/>
      <x:c r="AB47" s="26"/>
      <x:c r="AC47" s="26"/>
      <x:c r="AD47" s="26"/>
      <x:c r="AE47" s="26"/>
      <x:c r="AF47" s="26"/>
      <x:c r="AG47" s="26"/>
      <x:c r="AH47" s="26"/>
      <x:c r="AI47" s="26"/>
      <x:c r="AJ47" s="26"/>
      <x:c r="AK47" s="26"/>
      <x:c r="AL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  <x:c r="AA48" s="26"/>
      <x:c r="AB48" s="26"/>
      <x:c r="AC48" s="26"/>
      <x:c r="AD48" s="26"/>
      <x:c r="AE48" s="26"/>
      <x:c r="AF48" s="26"/>
      <x:c r="AG48" s="26"/>
      <x:c r="AH48" s="26"/>
      <x:c r="AI48" s="26"/>
      <x:c r="AJ48" s="26"/>
      <x:c r="AK48" s="26"/>
      <x:c r="AL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  <x:c r="AA49" s="26"/>
      <x:c r="AB49" s="26"/>
      <x:c r="AC49" s="26"/>
      <x:c r="AD49" s="26"/>
      <x:c r="AE49" s="26"/>
      <x:c r="AF49" s="26"/>
      <x:c r="AG49" s="26"/>
      <x:c r="AH49" s="26"/>
      <x:c r="AI49" s="26"/>
      <x:c r="AJ49" s="26"/>
      <x:c r="AK49" s="26"/>
      <x:c r="AL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  <x:c r="AA50" s="26"/>
      <x:c r="AB50" s="26"/>
      <x:c r="AC50" s="26"/>
      <x:c r="AD50" s="26"/>
      <x:c r="AE50" s="26"/>
      <x:c r="AF50" s="26"/>
      <x:c r="AG50" s="26"/>
      <x:c r="AH50" s="26"/>
      <x:c r="AI50" s="26"/>
      <x:c r="AJ50" s="26"/>
      <x:c r="AK50" s="26"/>
      <x:c r="AL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  <x:c r="AA51" s="26"/>
      <x:c r="AB51" s="26"/>
      <x:c r="AC51" s="26"/>
      <x:c r="AD51" s="26"/>
      <x:c r="AE51" s="26"/>
      <x:c r="AF51" s="26"/>
      <x:c r="AG51" s="26"/>
      <x:c r="AH51" s="26"/>
      <x:c r="AI51" s="26"/>
      <x:c r="AJ51" s="26"/>
      <x:c r="AK51" s="26"/>
      <x:c r="AL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  <x:c r="AA52" s="26"/>
      <x:c r="AB52" s="26"/>
      <x:c r="AC52" s="26"/>
      <x:c r="AD52" s="26"/>
      <x:c r="AE52" s="26"/>
      <x:c r="AF52" s="26"/>
      <x:c r="AG52" s="26"/>
      <x:c r="AH52" s="26"/>
      <x:c r="AI52" s="26"/>
      <x:c r="AJ52" s="26"/>
      <x:c r="AK52" s="26"/>
      <x:c r="AL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  <x:c r="AA53" s="26"/>
      <x:c r="AB53" s="26"/>
      <x:c r="AC53" s="26"/>
      <x:c r="AD53" s="26"/>
      <x:c r="AE53" s="26"/>
      <x:c r="AF53" s="26"/>
      <x:c r="AG53" s="26"/>
      <x:c r="AH53" s="26"/>
      <x:c r="AI53" s="26"/>
      <x:c r="AJ53" s="26"/>
      <x:c r="AK53" s="26"/>
      <x:c r="AL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  <x:c r="AA54" s="26"/>
      <x:c r="AB54" s="26"/>
      <x:c r="AC54" s="26"/>
      <x:c r="AD54" s="26"/>
      <x:c r="AE54" s="26"/>
      <x:c r="AF54" s="26"/>
      <x:c r="AG54" s="26"/>
      <x:c r="AH54" s="26"/>
      <x:c r="AI54" s="26"/>
      <x:c r="AJ54" s="26"/>
      <x:c r="AK54" s="26"/>
      <x:c r="AL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  <x:c r="AA55" s="26"/>
      <x:c r="AB55" s="26"/>
      <x:c r="AC55" s="26"/>
      <x:c r="AD55" s="26"/>
      <x:c r="AE55" s="26"/>
      <x:c r="AF55" s="26"/>
      <x:c r="AG55" s="26"/>
      <x:c r="AH55" s="26"/>
      <x:c r="AI55" s="26"/>
      <x:c r="AJ55" s="26"/>
      <x:c r="AK55" s="26"/>
      <x:c r="AL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  <x:c r="AA56" s="26"/>
      <x:c r="AB56" s="26"/>
      <x:c r="AC56" s="26"/>
      <x:c r="AD56" s="26"/>
      <x:c r="AE56" s="26"/>
      <x:c r="AF56" s="26"/>
      <x:c r="AG56" s="26"/>
      <x:c r="AH56" s="26"/>
      <x:c r="AI56" s="26"/>
      <x:c r="AJ56" s="26"/>
      <x:c r="AK56" s="26"/>
      <x:c r="AL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  <x:c r="AA57" s="26"/>
      <x:c r="AB57" s="26"/>
      <x:c r="AC57" s="26"/>
      <x:c r="AD57" s="26"/>
      <x:c r="AE57" s="26"/>
      <x:c r="AF57" s="26"/>
      <x:c r="AG57" s="26"/>
      <x:c r="AH57" s="26"/>
      <x:c r="AI57" s="26"/>
      <x:c r="AJ57" s="26"/>
      <x:c r="AK57" s="26"/>
      <x:c r="AL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  <x:c r="AA58" s="26"/>
      <x:c r="AB58" s="26"/>
      <x:c r="AC58" s="26"/>
      <x:c r="AD58" s="26"/>
      <x:c r="AE58" s="26"/>
      <x:c r="AF58" s="26"/>
      <x:c r="AG58" s="26"/>
      <x:c r="AH58" s="26"/>
      <x:c r="AI58" s="26"/>
      <x:c r="AJ58" s="26"/>
      <x:c r="AK58" s="26"/>
      <x:c r="AL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  <x:c r="AA59" s="26"/>
      <x:c r="AB59" s="26"/>
      <x:c r="AC59" s="26"/>
      <x:c r="AD59" s="26"/>
      <x:c r="AE59" s="26"/>
      <x:c r="AF59" s="26"/>
      <x:c r="AG59" s="26"/>
      <x:c r="AH59" s="26"/>
      <x:c r="AI59" s="26"/>
      <x:c r="AJ59" s="26"/>
      <x:c r="AK59" s="26"/>
      <x:c r="AL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6"/>
      <x:c r="AG60" s="26"/>
      <x:c r="AH60" s="26"/>
      <x:c r="AI60" s="26"/>
      <x:c r="AJ60" s="26"/>
      <x:c r="AK60" s="26"/>
      <x:c r="AL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  <x:c r="AA61" s="26"/>
      <x:c r="AB61" s="26"/>
      <x:c r="AC61" s="26"/>
      <x:c r="AD61" s="26"/>
      <x:c r="AE61" s="26"/>
      <x:c r="AF61" s="26"/>
      <x:c r="AG61" s="26"/>
      <x:c r="AH61" s="26"/>
      <x:c r="AI61" s="26"/>
      <x:c r="AJ61" s="26"/>
      <x:c r="AK61" s="26"/>
      <x:c r="AL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  <x:c r="AA62" s="26"/>
      <x:c r="AB62" s="26"/>
      <x:c r="AC62" s="26"/>
      <x:c r="AD62" s="26"/>
      <x:c r="AE62" s="26"/>
      <x:c r="AF62" s="26"/>
      <x:c r="AG62" s="26"/>
      <x:c r="AH62" s="26"/>
      <x:c r="AI62" s="26"/>
      <x:c r="AJ62" s="26"/>
      <x:c r="AK62" s="26"/>
      <x:c r="AL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  <x:c r="AA63" s="26"/>
      <x:c r="AB63" s="26"/>
      <x:c r="AC63" s="26"/>
      <x:c r="AD63" s="26"/>
      <x:c r="AE63" s="26"/>
      <x:c r="AF63" s="26"/>
      <x:c r="AG63" s="26"/>
      <x:c r="AH63" s="26"/>
      <x:c r="AI63" s="26"/>
      <x:c r="AJ63" s="26"/>
      <x:c r="AK63" s="26"/>
      <x:c r="AL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  <x:c r="AA64" s="26"/>
      <x:c r="AB64" s="26"/>
      <x:c r="AC64" s="26"/>
      <x:c r="AD64" s="26"/>
      <x:c r="AE64" s="26"/>
      <x:c r="AF64" s="26"/>
      <x:c r="AG64" s="26"/>
      <x:c r="AH64" s="26"/>
      <x:c r="AI64" s="26"/>
      <x:c r="AJ64" s="26"/>
      <x:c r="AK64" s="26"/>
      <x:c r="AL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  <x:c r="AA65" s="26"/>
      <x:c r="AB65" s="26"/>
      <x:c r="AC65" s="26"/>
      <x:c r="AD65" s="26"/>
      <x:c r="AE65" s="26"/>
      <x:c r="AF65" s="26"/>
      <x:c r="AG65" s="26"/>
      <x:c r="AH65" s="26"/>
      <x:c r="AI65" s="26"/>
      <x:c r="AJ65" s="26"/>
      <x:c r="AK65" s="26"/>
      <x:c r="AL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  <x:c r="AA66" s="26"/>
      <x:c r="AB66" s="26"/>
      <x:c r="AC66" s="26"/>
      <x:c r="AD66" s="26"/>
      <x:c r="AE66" s="26"/>
      <x:c r="AF66" s="26"/>
      <x:c r="AG66" s="26"/>
      <x:c r="AH66" s="26"/>
      <x:c r="AI66" s="26"/>
      <x:c r="AJ66" s="26"/>
      <x:c r="AK66" s="26"/>
      <x:c r="AL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  <x:c r="AA67" s="26"/>
      <x:c r="AB67" s="26"/>
      <x:c r="AC67" s="26"/>
      <x:c r="AD67" s="26"/>
      <x:c r="AE67" s="26"/>
      <x:c r="AF67" s="26"/>
      <x:c r="AG67" s="26"/>
      <x:c r="AH67" s="26"/>
      <x:c r="AI67" s="26"/>
      <x:c r="AJ67" s="26"/>
      <x:c r="AK67" s="26"/>
      <x:c r="AL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  <x:c r="AA68" s="26"/>
      <x:c r="AB68" s="26"/>
      <x:c r="AC68" s="26"/>
      <x:c r="AD68" s="26"/>
      <x:c r="AE68" s="26"/>
      <x:c r="AF68" s="26"/>
      <x:c r="AG68" s="26"/>
      <x:c r="AH68" s="26"/>
      <x:c r="AI68" s="26"/>
      <x:c r="AJ68" s="26"/>
      <x:c r="AK68" s="26"/>
      <x:c r="AL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  <x:c r="AA69" s="26"/>
      <x:c r="AB69" s="26"/>
      <x:c r="AC69" s="26"/>
      <x:c r="AD69" s="26"/>
      <x:c r="AE69" s="26"/>
      <x:c r="AF69" s="26"/>
      <x:c r="AG69" s="26"/>
      <x:c r="AH69" s="26"/>
      <x:c r="AI69" s="26"/>
      <x:c r="AJ69" s="26"/>
      <x:c r="AK69" s="26"/>
      <x:c r="AL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  <x:c r="AA70" s="26"/>
      <x:c r="AB70" s="26"/>
      <x:c r="AC70" s="26"/>
      <x:c r="AD70" s="26"/>
      <x:c r="AE70" s="26"/>
      <x:c r="AF70" s="26"/>
      <x:c r="AG70" s="26"/>
      <x:c r="AH70" s="26"/>
      <x:c r="AI70" s="26"/>
      <x:c r="AJ70" s="26"/>
      <x:c r="AK70" s="26"/>
      <x:c r="AL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  <x:c r="AA71" s="26"/>
      <x:c r="AB71" s="26"/>
      <x:c r="AC71" s="26"/>
      <x:c r="AD71" s="26"/>
      <x:c r="AE71" s="26"/>
      <x:c r="AF71" s="26"/>
      <x:c r="AG71" s="26"/>
      <x:c r="AH71" s="26"/>
      <x:c r="AI71" s="26"/>
      <x:c r="AJ71" s="26"/>
      <x:c r="AK71" s="26"/>
      <x:c r="AL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  <x:c r="AA72" s="26"/>
      <x:c r="AB72" s="26"/>
      <x:c r="AC72" s="26"/>
      <x:c r="AD72" s="26"/>
      <x:c r="AE72" s="26"/>
      <x:c r="AF72" s="26"/>
      <x:c r="AG72" s="26"/>
      <x:c r="AH72" s="26"/>
      <x:c r="AI72" s="26"/>
      <x:c r="AJ72" s="26"/>
      <x:c r="AK72" s="26"/>
      <x:c r="AL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6"/>
      <x:c r="AG73" s="26"/>
      <x:c r="AH73" s="26"/>
      <x:c r="AI73" s="26"/>
      <x:c r="AJ73" s="26"/>
      <x:c r="AK73" s="26"/>
      <x:c r="AL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  <x:c r="AA74" s="26"/>
      <x:c r="AB74" s="26"/>
      <x:c r="AC74" s="26"/>
      <x:c r="AD74" s="26"/>
      <x:c r="AE74" s="26"/>
      <x:c r="AF74" s="26"/>
      <x:c r="AG74" s="26"/>
      <x:c r="AH74" s="26"/>
      <x:c r="AI74" s="26"/>
      <x:c r="AJ74" s="26"/>
      <x:c r="AK74" s="26"/>
      <x:c r="AL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  <x:c r="AA75" s="26"/>
      <x:c r="AB75" s="26"/>
      <x:c r="AC75" s="26"/>
      <x:c r="AD75" s="26"/>
      <x:c r="AE75" s="26"/>
      <x:c r="AF75" s="26"/>
      <x:c r="AG75" s="26"/>
      <x:c r="AH75" s="26"/>
      <x:c r="AI75" s="26"/>
      <x:c r="AJ75" s="26"/>
      <x:c r="AK75" s="26"/>
      <x:c r="AL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  <x:c r="AA76" s="26"/>
      <x:c r="AB76" s="26"/>
      <x:c r="AC76" s="26"/>
      <x:c r="AD76" s="26"/>
      <x:c r="AE76" s="26"/>
      <x:c r="AF76" s="26"/>
      <x:c r="AG76" s="26"/>
      <x:c r="AH76" s="26"/>
      <x:c r="AI76" s="26"/>
      <x:c r="AJ76" s="26"/>
      <x:c r="AK76" s="26"/>
      <x:c r="AL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  <x:c r="AA77" s="26"/>
      <x:c r="AB77" s="26"/>
      <x:c r="AC77" s="26"/>
      <x:c r="AD77" s="26"/>
      <x:c r="AE77" s="26"/>
      <x:c r="AF77" s="26"/>
      <x:c r="AG77" s="26"/>
      <x:c r="AH77" s="26"/>
      <x:c r="AI77" s="26"/>
      <x:c r="AJ77" s="26"/>
      <x:c r="AK77" s="26"/>
      <x:c r="AL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  <x:c r="AA78" s="26"/>
      <x:c r="AB78" s="26"/>
      <x:c r="AC78" s="26"/>
      <x:c r="AD78" s="26"/>
      <x:c r="AE78" s="26"/>
      <x:c r="AF78" s="26"/>
      <x:c r="AG78" s="26"/>
      <x:c r="AH78" s="26"/>
      <x:c r="AI78" s="26"/>
      <x:c r="AJ78" s="26"/>
      <x:c r="AK78" s="26"/>
      <x:c r="AL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  <x:c r="AA79" s="26"/>
      <x:c r="AB79" s="26"/>
      <x:c r="AC79" s="26"/>
      <x:c r="AD79" s="26"/>
      <x:c r="AE79" s="26"/>
      <x:c r="AF79" s="26"/>
      <x:c r="AG79" s="26"/>
      <x:c r="AH79" s="26"/>
      <x:c r="AI79" s="26"/>
      <x:c r="AJ79" s="26"/>
      <x:c r="AK79" s="26"/>
      <x:c r="AL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  <x:c r="AA80" s="26"/>
      <x:c r="AB80" s="26"/>
      <x:c r="AC80" s="26"/>
      <x:c r="AD80" s="26"/>
      <x:c r="AE80" s="26"/>
      <x:c r="AF80" s="26"/>
      <x:c r="AG80" s="26"/>
      <x:c r="AH80" s="26"/>
      <x:c r="AI80" s="26"/>
      <x:c r="AJ80" s="26"/>
      <x:c r="AK80" s="26"/>
      <x:c r="AL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  <x:c r="AA81" s="26"/>
      <x:c r="AB81" s="26"/>
      <x:c r="AC81" s="26"/>
      <x:c r="AD81" s="26"/>
      <x:c r="AE81" s="26"/>
      <x:c r="AF81" s="26"/>
      <x:c r="AG81" s="26"/>
      <x:c r="AH81" s="26"/>
      <x:c r="AI81" s="26"/>
      <x:c r="AJ81" s="26"/>
      <x:c r="AK81" s="26"/>
      <x:c r="AL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  <x:c r="AA82" s="26"/>
      <x:c r="AB82" s="26"/>
      <x:c r="AC82" s="26"/>
      <x:c r="AD82" s="26"/>
      <x:c r="AE82" s="26"/>
      <x:c r="AF82" s="26"/>
      <x:c r="AG82" s="26"/>
      <x:c r="AH82" s="26"/>
      <x:c r="AI82" s="26"/>
      <x:c r="AJ82" s="26"/>
      <x:c r="AK82" s="26"/>
      <x:c r="AL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  <x:c r="AA83" s="26"/>
      <x:c r="AB83" s="26"/>
      <x:c r="AC83" s="26"/>
      <x:c r="AD83" s="26"/>
      <x:c r="AE83" s="26"/>
      <x:c r="AF83" s="26"/>
      <x:c r="AG83" s="26"/>
      <x:c r="AH83" s="26"/>
      <x:c r="AI83" s="26"/>
      <x:c r="AJ83" s="26"/>
      <x:c r="AK83" s="26"/>
      <x:c r="AL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  <x:c r="AA84" s="26"/>
      <x:c r="AB84" s="26"/>
      <x:c r="AC84" s="26"/>
      <x:c r="AD84" s="26"/>
      <x:c r="AE84" s="26"/>
      <x:c r="AF84" s="26"/>
      <x:c r="AG84" s="26"/>
      <x:c r="AH84" s="26"/>
      <x:c r="AI84" s="26"/>
      <x:c r="AJ84" s="26"/>
      <x:c r="AK84" s="26"/>
      <x:c r="AL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  <x:c r="AA85" s="26"/>
      <x:c r="AB85" s="26"/>
      <x:c r="AC85" s="26"/>
      <x:c r="AD85" s="26"/>
      <x:c r="AE85" s="26"/>
      <x:c r="AF85" s="26"/>
      <x:c r="AG85" s="26"/>
      <x:c r="AH85" s="26"/>
      <x:c r="AI85" s="26"/>
      <x:c r="AJ85" s="26"/>
      <x:c r="AK85" s="26"/>
      <x:c r="AL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6"/>
      <x:c r="AG86" s="26"/>
      <x:c r="AH86" s="26"/>
      <x:c r="AI86" s="26"/>
      <x:c r="AJ86" s="26"/>
      <x:c r="AK86" s="26"/>
      <x:c r="AL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  <x:c r="AA87" s="26"/>
      <x:c r="AB87" s="26"/>
      <x:c r="AC87" s="26"/>
      <x:c r="AD87" s="26"/>
      <x:c r="AE87" s="26"/>
      <x:c r="AF87" s="26"/>
      <x:c r="AG87" s="26"/>
      <x:c r="AH87" s="26"/>
      <x:c r="AI87" s="26"/>
      <x:c r="AJ87" s="26"/>
      <x:c r="AK87" s="26"/>
      <x:c r="AL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  <x:c r="AA88" s="26"/>
      <x:c r="AB88" s="26"/>
      <x:c r="AC88" s="26"/>
      <x:c r="AD88" s="26"/>
      <x:c r="AE88" s="26"/>
      <x:c r="AF88" s="26"/>
      <x:c r="AG88" s="26"/>
      <x:c r="AH88" s="26"/>
      <x:c r="AI88" s="26"/>
      <x:c r="AJ88" s="26"/>
      <x:c r="AK88" s="26"/>
      <x:c r="AL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  <x:c r="AA89" s="26"/>
      <x:c r="AB89" s="26"/>
      <x:c r="AC89" s="26"/>
      <x:c r="AD89" s="26"/>
      <x:c r="AE89" s="26"/>
      <x:c r="AF89" s="26"/>
      <x:c r="AG89" s="26"/>
      <x:c r="AH89" s="26"/>
      <x:c r="AI89" s="26"/>
      <x:c r="AJ89" s="26"/>
      <x:c r="AK89" s="26"/>
      <x:c r="AL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  <x:c r="AA90" s="26"/>
      <x:c r="AB90" s="26"/>
      <x:c r="AC90" s="26"/>
      <x:c r="AD90" s="26"/>
      <x:c r="AE90" s="26"/>
      <x:c r="AF90" s="26"/>
      <x:c r="AG90" s="26"/>
      <x:c r="AH90" s="26"/>
      <x:c r="AI90" s="26"/>
      <x:c r="AJ90" s="26"/>
      <x:c r="AK90" s="26"/>
      <x:c r="AL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  <x:c r="AA91" s="26"/>
      <x:c r="AB91" s="26"/>
      <x:c r="AC91" s="26"/>
      <x:c r="AD91" s="26"/>
      <x:c r="AE91" s="26"/>
      <x:c r="AF91" s="26"/>
      <x:c r="AG91" s="26"/>
      <x:c r="AH91" s="26"/>
      <x:c r="AI91" s="26"/>
      <x:c r="AJ91" s="26"/>
      <x:c r="AK91" s="26"/>
      <x:c r="AL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  <x:c r="AA92" s="26"/>
      <x:c r="AB92" s="26"/>
      <x:c r="AC92" s="26"/>
      <x:c r="AD92" s="26"/>
      <x:c r="AE92" s="26"/>
      <x:c r="AF92" s="26"/>
      <x:c r="AG92" s="26"/>
      <x:c r="AH92" s="26"/>
      <x:c r="AI92" s="26"/>
      <x:c r="AJ92" s="26"/>
      <x:c r="AK92" s="26"/>
      <x:c r="AL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  <x:c r="AA93" s="26"/>
      <x:c r="AB93" s="26"/>
      <x:c r="AC93" s="26"/>
      <x:c r="AD93" s="26"/>
      <x:c r="AE93" s="26"/>
      <x:c r="AF93" s="26"/>
      <x:c r="AG93" s="26"/>
      <x:c r="AH93" s="26"/>
      <x:c r="AI93" s="26"/>
      <x:c r="AJ93" s="26"/>
      <x:c r="AK93" s="26"/>
      <x:c r="AL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  <x:c r="AA94" s="26"/>
      <x:c r="AB94" s="26"/>
      <x:c r="AC94" s="26"/>
      <x:c r="AD94" s="26"/>
      <x:c r="AE94" s="26"/>
      <x:c r="AF94" s="26"/>
      <x:c r="AG94" s="26"/>
      <x:c r="AH94" s="26"/>
      <x:c r="AI94" s="26"/>
      <x:c r="AJ94" s="26"/>
      <x:c r="AK94" s="26"/>
      <x:c r="AL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  <x:c r="AA95" s="26"/>
      <x:c r="AB95" s="26"/>
      <x:c r="AC95" s="26"/>
      <x:c r="AD95" s="26"/>
      <x:c r="AE95" s="26"/>
      <x:c r="AF95" s="26"/>
      <x:c r="AG95" s="26"/>
      <x:c r="AH95" s="26"/>
      <x:c r="AI95" s="26"/>
      <x:c r="AJ95" s="26"/>
      <x:c r="AK95" s="26"/>
      <x:c r="AL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  <x:c r="AA96" s="26"/>
      <x:c r="AB96" s="26"/>
      <x:c r="AC96" s="26"/>
      <x:c r="AD96" s="26"/>
      <x:c r="AE96" s="26"/>
      <x:c r="AF96" s="26"/>
      <x:c r="AG96" s="26"/>
      <x:c r="AH96" s="26"/>
      <x:c r="AI96" s="26"/>
      <x:c r="AJ96" s="26"/>
      <x:c r="AK96" s="26"/>
      <x:c r="AL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  <x:c r="AA97" s="26"/>
      <x:c r="AB97" s="26"/>
      <x:c r="AC97" s="26"/>
      <x:c r="AD97" s="26"/>
      <x:c r="AE97" s="26"/>
      <x:c r="AF97" s="26"/>
      <x:c r="AG97" s="26"/>
      <x:c r="AH97" s="26"/>
      <x:c r="AI97" s="26"/>
      <x:c r="AJ97" s="26"/>
      <x:c r="AK97" s="26"/>
      <x:c r="AL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  <x:c r="AA98" s="26"/>
      <x:c r="AB98" s="26"/>
      <x:c r="AC98" s="26"/>
      <x:c r="AD98" s="26"/>
      <x:c r="AE98" s="26"/>
      <x:c r="AF98" s="26"/>
      <x:c r="AG98" s="26"/>
      <x:c r="AH98" s="26"/>
      <x:c r="AI98" s="26"/>
      <x:c r="AJ98" s="26"/>
      <x:c r="AK98" s="26"/>
      <x:c r="AL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6"/>
      <x:c r="AG99" s="26"/>
      <x:c r="AH99" s="26"/>
      <x:c r="AI99" s="26"/>
      <x:c r="AJ99" s="26"/>
      <x:c r="AK99" s="26"/>
      <x:c r="AL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  <x:c r="AA100" s="26"/>
      <x:c r="AB100" s="26"/>
      <x:c r="AC100" s="26"/>
      <x:c r="AD100" s="26"/>
      <x:c r="AE100" s="26"/>
      <x:c r="AF100" s="26"/>
      <x:c r="AG100" s="26"/>
      <x:c r="AH100" s="26"/>
      <x:c r="AI100" s="26"/>
      <x:c r="AJ100" s="26"/>
      <x:c r="AK100" s="26"/>
      <x:c r="AL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  <x:c r="AA101" s="26"/>
      <x:c r="AB101" s="26"/>
      <x:c r="AC101" s="26"/>
      <x:c r="AD101" s="26"/>
      <x:c r="AE101" s="26"/>
      <x:c r="AF101" s="26"/>
      <x:c r="AG101" s="26"/>
      <x:c r="AH101" s="26"/>
      <x:c r="AI101" s="26"/>
      <x:c r="AJ101" s="26"/>
      <x:c r="AK101" s="26"/>
      <x:c r="AL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  <x:c r="AA102" s="26"/>
      <x:c r="AB102" s="26"/>
      <x:c r="AC102" s="26"/>
      <x:c r="AD102" s="26"/>
      <x:c r="AE102" s="26"/>
      <x:c r="AF102" s="26"/>
      <x:c r="AG102" s="26"/>
      <x:c r="AH102" s="26"/>
      <x:c r="AI102" s="26"/>
      <x:c r="AJ102" s="26"/>
      <x:c r="AK102" s="26"/>
      <x:c r="AL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  <x:c r="AA103" s="26"/>
      <x:c r="AB103" s="26"/>
      <x:c r="AC103" s="26"/>
      <x:c r="AD103" s="26"/>
      <x:c r="AE103" s="26"/>
      <x:c r="AF103" s="26"/>
      <x:c r="AG103" s="26"/>
      <x:c r="AH103" s="26"/>
      <x:c r="AI103" s="26"/>
      <x:c r="AJ103" s="26"/>
      <x:c r="AK103" s="26"/>
      <x:c r="AL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  <x:c r="AA104" s="26"/>
      <x:c r="AB104" s="26"/>
      <x:c r="AC104" s="26"/>
      <x:c r="AD104" s="26"/>
      <x:c r="AE104" s="26"/>
      <x:c r="AF104" s="26"/>
      <x:c r="AG104" s="26"/>
      <x:c r="AH104" s="26"/>
      <x:c r="AI104" s="26"/>
      <x:c r="AJ104" s="26"/>
      <x:c r="AK104" s="26"/>
      <x:c r="AL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  <x:c r="AA105" s="26"/>
      <x:c r="AB105" s="26"/>
      <x:c r="AC105" s="26"/>
      <x:c r="AD105" s="26"/>
      <x:c r="AE105" s="26"/>
      <x:c r="AF105" s="26"/>
      <x:c r="AG105" s="26"/>
      <x:c r="AH105" s="26"/>
      <x:c r="AI105" s="26"/>
      <x:c r="AJ105" s="26"/>
      <x:c r="AK105" s="26"/>
      <x:c r="AL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  <x:c r="AA106" s="26"/>
      <x:c r="AB106" s="26"/>
      <x:c r="AC106" s="26"/>
      <x:c r="AD106" s="26"/>
      <x:c r="AE106" s="26"/>
      <x:c r="AF106" s="26"/>
      <x:c r="AG106" s="26"/>
      <x:c r="AH106" s="26"/>
      <x:c r="AI106" s="26"/>
      <x:c r="AJ106" s="26"/>
      <x:c r="AK106" s="26"/>
      <x:c r="AL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  <x:c r="AA107" s="26"/>
      <x:c r="AB107" s="26"/>
      <x:c r="AC107" s="26"/>
      <x:c r="AD107" s="26"/>
      <x:c r="AE107" s="26"/>
      <x:c r="AF107" s="26"/>
      <x:c r="AG107" s="26"/>
      <x:c r="AH107" s="26"/>
      <x:c r="AI107" s="26"/>
      <x:c r="AJ107" s="26"/>
      <x:c r="AK107" s="26"/>
      <x:c r="AL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  <x:c r="AA108" s="26"/>
      <x:c r="AB108" s="26"/>
      <x:c r="AC108" s="26"/>
      <x:c r="AD108" s="26"/>
      <x:c r="AE108" s="26"/>
      <x:c r="AF108" s="26"/>
      <x:c r="AG108" s="26"/>
      <x:c r="AH108" s="26"/>
      <x:c r="AI108" s="26"/>
      <x:c r="AJ108" s="26"/>
      <x:c r="AK108" s="26"/>
      <x:c r="AL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  <x:c r="AA109" s="26"/>
      <x:c r="AB109" s="26"/>
      <x:c r="AC109" s="26"/>
      <x:c r="AD109" s="26"/>
      <x:c r="AE109" s="26"/>
      <x:c r="AF109" s="26"/>
      <x:c r="AG109" s="26"/>
      <x:c r="AH109" s="26"/>
      <x:c r="AI109" s="26"/>
      <x:c r="AJ109" s="26"/>
      <x:c r="AK109" s="26"/>
      <x:c r="AL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  <x:c r="AA110" s="26"/>
      <x:c r="AB110" s="26"/>
      <x:c r="AC110" s="26"/>
      <x:c r="AD110" s="26"/>
      <x:c r="AE110" s="26"/>
      <x:c r="AF110" s="26"/>
      <x:c r="AG110" s="26"/>
      <x:c r="AH110" s="26"/>
      <x:c r="AI110" s="26"/>
      <x:c r="AJ110" s="26"/>
      <x:c r="AK110" s="26"/>
      <x:c r="AL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  <x:c r="AA111" s="26"/>
      <x:c r="AB111" s="26"/>
      <x:c r="AC111" s="26"/>
      <x:c r="AD111" s="26"/>
      <x:c r="AE111" s="26"/>
      <x:c r="AF111" s="26"/>
      <x:c r="AG111" s="26"/>
      <x:c r="AH111" s="26"/>
      <x:c r="AI111" s="26"/>
      <x:c r="AJ111" s="26"/>
      <x:c r="AK111" s="26"/>
      <x:c r="AL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  <x:c r="AA112" s="26"/>
      <x:c r="AB112" s="26"/>
      <x:c r="AC112" s="26"/>
      <x:c r="AD112" s="26"/>
      <x:c r="AE112" s="26"/>
      <x:c r="AF112" s="26"/>
      <x:c r="AG112" s="26"/>
      <x:c r="AH112" s="26"/>
      <x:c r="AI112" s="26"/>
      <x:c r="AJ112" s="26"/>
      <x:c r="AK112" s="26"/>
      <x:c r="AL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  <x:c r="AA113" s="26"/>
      <x:c r="AB113" s="26"/>
      <x:c r="AC113" s="26"/>
      <x:c r="AD113" s="26"/>
      <x:c r="AE113" s="26"/>
      <x:c r="AF113" s="26"/>
      <x:c r="AG113" s="26"/>
      <x:c r="AH113" s="26"/>
      <x:c r="AI113" s="26"/>
      <x:c r="AJ113" s="26"/>
      <x:c r="AK113" s="26"/>
      <x:c r="AL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  <x:c r="AA114" s="26"/>
      <x:c r="AB114" s="26"/>
      <x:c r="AC114" s="26"/>
      <x:c r="AD114" s="26"/>
      <x:c r="AE114" s="26"/>
      <x:c r="AF114" s="26"/>
      <x:c r="AG114" s="26"/>
      <x:c r="AH114" s="26"/>
      <x:c r="AI114" s="26"/>
      <x:c r="AJ114" s="26"/>
      <x:c r="AK114" s="26"/>
      <x:c r="AL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  <x:c r="AA115" s="26"/>
      <x:c r="AB115" s="26"/>
      <x:c r="AC115" s="26"/>
      <x:c r="AD115" s="26"/>
      <x:c r="AE115" s="26"/>
      <x:c r="AF115" s="26"/>
      <x:c r="AG115" s="26"/>
      <x:c r="AH115" s="26"/>
      <x:c r="AI115" s="26"/>
      <x:c r="AJ115" s="26"/>
      <x:c r="AK115" s="26"/>
      <x:c r="AL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  <x:c r="AA116" s="26"/>
      <x:c r="AB116" s="26"/>
      <x:c r="AC116" s="26"/>
      <x:c r="AD116" s="26"/>
      <x:c r="AE116" s="26"/>
      <x:c r="AF116" s="26"/>
      <x:c r="AG116" s="26"/>
      <x:c r="AH116" s="26"/>
      <x:c r="AI116" s="26"/>
      <x:c r="AJ116" s="26"/>
      <x:c r="AK116" s="26"/>
      <x:c r="AL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  <x:c r="AA117" s="26"/>
      <x:c r="AB117" s="26"/>
      <x:c r="AC117" s="26"/>
      <x:c r="AD117" s="26"/>
      <x:c r="AE117" s="26"/>
      <x:c r="AF117" s="26"/>
      <x:c r="AG117" s="26"/>
      <x:c r="AH117" s="26"/>
      <x:c r="AI117" s="26"/>
      <x:c r="AJ117" s="26"/>
      <x:c r="AK117" s="26"/>
      <x:c r="AL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  <x:c r="AA118" s="26"/>
      <x:c r="AB118" s="26"/>
      <x:c r="AC118" s="26"/>
      <x:c r="AD118" s="26"/>
      <x:c r="AE118" s="26"/>
      <x:c r="AF118" s="26"/>
      <x:c r="AG118" s="26"/>
      <x:c r="AH118" s="26"/>
      <x:c r="AI118" s="26"/>
      <x:c r="AJ118" s="26"/>
      <x:c r="AK118" s="26"/>
      <x:c r="AL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  <x:c r="AA119" s="26"/>
      <x:c r="AB119" s="26"/>
      <x:c r="AC119" s="26"/>
      <x:c r="AD119" s="26"/>
      <x:c r="AE119" s="26"/>
      <x:c r="AF119" s="26"/>
      <x:c r="AG119" s="26"/>
      <x:c r="AH119" s="26"/>
      <x:c r="AI119" s="26"/>
      <x:c r="AJ119" s="26"/>
      <x:c r="AK119" s="26"/>
      <x:c r="AL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  <x:c r="AA120" s="26"/>
      <x:c r="AB120" s="26"/>
      <x:c r="AC120" s="26"/>
      <x:c r="AD120" s="26"/>
      <x:c r="AE120" s="26"/>
      <x:c r="AF120" s="26"/>
      <x:c r="AG120" s="26"/>
      <x:c r="AH120" s="26"/>
      <x:c r="AI120" s="26"/>
      <x:c r="AJ120" s="26"/>
      <x:c r="AK120" s="26"/>
      <x:c r="AL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  <x:c r="AA121" s="26"/>
      <x:c r="AB121" s="26"/>
      <x:c r="AC121" s="26"/>
      <x:c r="AD121" s="26"/>
      <x:c r="AE121" s="26"/>
      <x:c r="AF121" s="26"/>
      <x:c r="AG121" s="26"/>
      <x:c r="AH121" s="26"/>
      <x:c r="AI121" s="26"/>
      <x:c r="AJ121" s="26"/>
      <x:c r="AK121" s="26"/>
      <x:c r="AL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  <x:c r="AA122" s="26"/>
      <x:c r="AB122" s="26"/>
      <x:c r="AC122" s="26"/>
      <x:c r="AD122" s="26"/>
      <x:c r="AE122" s="26"/>
      <x:c r="AF122" s="26"/>
      <x:c r="AG122" s="26"/>
      <x:c r="AH122" s="26"/>
      <x:c r="AI122" s="26"/>
      <x:c r="AJ122" s="26"/>
      <x:c r="AK122" s="26"/>
      <x:c r="AL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  <x:c r="AA123" s="26"/>
      <x:c r="AB123" s="26"/>
      <x:c r="AC123" s="26"/>
      <x:c r="AD123" s="26"/>
      <x:c r="AE123" s="26"/>
      <x:c r="AF123" s="26"/>
      <x:c r="AG123" s="26"/>
      <x:c r="AH123" s="26"/>
      <x:c r="AI123" s="26"/>
      <x:c r="AJ123" s="26"/>
      <x:c r="AK123" s="26"/>
      <x:c r="AL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  <x:c r="AA124" s="26"/>
      <x:c r="AB124" s="26"/>
      <x:c r="AC124" s="26"/>
      <x:c r="AD124" s="26"/>
      <x:c r="AE124" s="26"/>
      <x:c r="AF124" s="26"/>
      <x:c r="AG124" s="26"/>
      <x:c r="AH124" s="26"/>
      <x:c r="AI124" s="26"/>
      <x:c r="AJ124" s="26"/>
      <x:c r="AK124" s="26"/>
      <x:c r="AL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  <x:c r="AA125" s="26"/>
      <x:c r="AB125" s="26"/>
      <x:c r="AC125" s="26"/>
      <x:c r="AD125" s="26"/>
      <x:c r="AE125" s="26"/>
      <x:c r="AF125" s="26"/>
      <x:c r="AG125" s="26"/>
      <x:c r="AH125" s="26"/>
      <x:c r="AI125" s="26"/>
      <x:c r="AJ125" s="26"/>
      <x:c r="AK125" s="26"/>
      <x:c r="AL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  <x:c r="AA126" s="26"/>
      <x:c r="AB126" s="26"/>
      <x:c r="AC126" s="26"/>
      <x:c r="AD126" s="26"/>
      <x:c r="AE126" s="26"/>
      <x:c r="AF126" s="26"/>
      <x:c r="AG126" s="26"/>
      <x:c r="AH126" s="26"/>
      <x:c r="AI126" s="26"/>
      <x:c r="AJ126" s="26"/>
      <x:c r="AK126" s="26"/>
      <x:c r="AL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  <x:c r="AA127" s="26"/>
      <x:c r="AB127" s="26"/>
      <x:c r="AC127" s="26"/>
      <x:c r="AD127" s="26"/>
      <x:c r="AE127" s="26"/>
      <x:c r="AF127" s="26"/>
      <x:c r="AG127" s="26"/>
      <x:c r="AH127" s="26"/>
      <x:c r="AI127" s="26"/>
      <x:c r="AJ127" s="26"/>
      <x:c r="AK127" s="26"/>
      <x:c r="AL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  <x:c r="AA128" s="26"/>
      <x:c r="AB128" s="26"/>
      <x:c r="AC128" s="26"/>
      <x:c r="AD128" s="26"/>
      <x:c r="AE128" s="26"/>
      <x:c r="AF128" s="26"/>
      <x:c r="AG128" s="26"/>
      <x:c r="AH128" s="26"/>
      <x:c r="AI128" s="26"/>
      <x:c r="AJ128" s="26"/>
      <x:c r="AK128" s="26"/>
      <x:c r="AL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  <x:c r="AA129" s="26"/>
      <x:c r="AB129" s="26"/>
      <x:c r="AC129" s="26"/>
      <x:c r="AD129" s="26"/>
      <x:c r="AE129" s="26"/>
      <x:c r="AF129" s="26"/>
      <x:c r="AG129" s="26"/>
      <x:c r="AH129" s="26"/>
      <x:c r="AI129" s="26"/>
      <x:c r="AJ129" s="26"/>
      <x:c r="AK129" s="26"/>
      <x:c r="AL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  <x:c r="AA130" s="26"/>
      <x:c r="AB130" s="26"/>
      <x:c r="AC130" s="26"/>
      <x:c r="AD130" s="26"/>
      <x:c r="AE130" s="26"/>
      <x:c r="AF130" s="26"/>
      <x:c r="AG130" s="26"/>
      <x:c r="AH130" s="26"/>
      <x:c r="AI130" s="26"/>
      <x:c r="AJ130" s="26"/>
      <x:c r="AK130" s="26"/>
      <x:c r="AL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  <x:c r="AA131" s="26"/>
      <x:c r="AB131" s="26"/>
      <x:c r="AC131" s="26"/>
      <x:c r="AD131" s="26"/>
      <x:c r="AE131" s="26"/>
      <x:c r="AF131" s="26"/>
      <x:c r="AG131" s="26"/>
      <x:c r="AH131" s="26"/>
      <x:c r="AI131" s="26"/>
      <x:c r="AJ131" s="26"/>
      <x:c r="AK131" s="26"/>
      <x:c r="AL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  <x:c r="AA132" s="26"/>
      <x:c r="AB132" s="26"/>
      <x:c r="AC132" s="26"/>
      <x:c r="AD132" s="26"/>
      <x:c r="AE132" s="26"/>
      <x:c r="AF132" s="26"/>
      <x:c r="AG132" s="26"/>
      <x:c r="AH132" s="26"/>
      <x:c r="AI132" s="26"/>
      <x:c r="AJ132" s="26"/>
      <x:c r="AK132" s="26"/>
      <x:c r="AL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  <x:c r="AA133" s="26"/>
      <x:c r="AB133" s="26"/>
      <x:c r="AC133" s="26"/>
      <x:c r="AD133" s="26"/>
      <x:c r="AE133" s="26"/>
      <x:c r="AF133" s="26"/>
      <x:c r="AG133" s="26"/>
      <x:c r="AH133" s="26"/>
      <x:c r="AI133" s="26"/>
      <x:c r="AJ133" s="26"/>
      <x:c r="AK133" s="26"/>
      <x:c r="AL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  <x:c r="AA134" s="26"/>
      <x:c r="AB134" s="26"/>
      <x:c r="AC134" s="26"/>
      <x:c r="AD134" s="26"/>
      <x:c r="AE134" s="26"/>
      <x:c r="AF134" s="26"/>
      <x:c r="AG134" s="26"/>
      <x:c r="AH134" s="26"/>
      <x:c r="AI134" s="26"/>
      <x:c r="AJ134" s="26"/>
      <x:c r="AK134" s="26"/>
      <x:c r="AL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  <x:c r="AA135" s="26"/>
      <x:c r="AB135" s="26"/>
      <x:c r="AC135" s="26"/>
      <x:c r="AD135" s="26"/>
      <x:c r="AE135" s="26"/>
      <x:c r="AF135" s="26"/>
      <x:c r="AG135" s="26"/>
      <x:c r="AH135" s="26"/>
      <x:c r="AI135" s="26"/>
      <x:c r="AJ135" s="26"/>
      <x:c r="AK135" s="26"/>
      <x:c r="AL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  <x:c r="AA136" s="26"/>
      <x:c r="AB136" s="26"/>
      <x:c r="AC136" s="26"/>
      <x:c r="AD136" s="26"/>
      <x:c r="AE136" s="26"/>
      <x:c r="AF136" s="26"/>
      <x:c r="AG136" s="26"/>
      <x:c r="AH136" s="26"/>
      <x:c r="AI136" s="26"/>
      <x:c r="AJ136" s="26"/>
      <x:c r="AK136" s="26"/>
      <x:c r="AL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  <x:c r="AA137" s="26"/>
      <x:c r="AB137" s="26"/>
      <x:c r="AC137" s="26"/>
      <x:c r="AD137" s="26"/>
      <x:c r="AE137" s="26"/>
      <x:c r="AF137" s="26"/>
      <x:c r="AG137" s="26"/>
      <x:c r="AH137" s="26"/>
      <x:c r="AI137" s="26"/>
      <x:c r="AJ137" s="26"/>
      <x:c r="AK137" s="26"/>
      <x:c r="AL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  <x:c r="AA138" s="26"/>
      <x:c r="AB138" s="26"/>
      <x:c r="AC138" s="26"/>
      <x:c r="AD138" s="26"/>
      <x:c r="AE138" s="26"/>
      <x:c r="AF138" s="26"/>
      <x:c r="AG138" s="26"/>
      <x:c r="AH138" s="26"/>
      <x:c r="AI138" s="26"/>
      <x:c r="AJ138" s="26"/>
      <x:c r="AK138" s="26"/>
      <x:c r="AL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  <x:c r="AA139" s="26"/>
      <x:c r="AB139" s="26"/>
      <x:c r="AC139" s="26"/>
      <x:c r="AD139" s="26"/>
      <x:c r="AE139" s="26"/>
      <x:c r="AF139" s="26"/>
      <x:c r="AG139" s="26"/>
      <x:c r="AH139" s="26"/>
      <x:c r="AI139" s="26"/>
      <x:c r="AJ139" s="26"/>
      <x:c r="AK139" s="26"/>
      <x:c r="AL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  <x:c r="AA140" s="26"/>
      <x:c r="AB140" s="26"/>
      <x:c r="AC140" s="26"/>
      <x:c r="AD140" s="26"/>
      <x:c r="AE140" s="26"/>
      <x:c r="AF140" s="26"/>
      <x:c r="AG140" s="26"/>
      <x:c r="AH140" s="26"/>
      <x:c r="AI140" s="26"/>
      <x:c r="AJ140" s="26"/>
      <x:c r="AK140" s="26"/>
      <x:c r="AL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  <x:c r="AA141" s="26"/>
      <x:c r="AB141" s="26"/>
      <x:c r="AC141" s="26"/>
      <x:c r="AD141" s="26"/>
      <x:c r="AE141" s="26"/>
      <x:c r="AF141" s="26"/>
      <x:c r="AG141" s="26"/>
      <x:c r="AH141" s="26"/>
      <x:c r="AI141" s="26"/>
      <x:c r="AJ141" s="26"/>
      <x:c r="AK141" s="26"/>
      <x:c r="AL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  <x:c r="AA142" s="26"/>
      <x:c r="AB142" s="26"/>
      <x:c r="AC142" s="26"/>
      <x:c r="AD142" s="26"/>
      <x:c r="AE142" s="26"/>
      <x:c r="AF142" s="26"/>
      <x:c r="AG142" s="26"/>
      <x:c r="AH142" s="26"/>
      <x:c r="AI142" s="26"/>
      <x:c r="AJ142" s="26"/>
      <x:c r="AK142" s="26"/>
      <x:c r="AL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  <x:c r="AA143" s="26"/>
      <x:c r="AB143" s="26"/>
      <x:c r="AC143" s="26"/>
      <x:c r="AD143" s="26"/>
      <x:c r="AE143" s="26"/>
      <x:c r="AF143" s="26"/>
      <x:c r="AG143" s="26"/>
      <x:c r="AH143" s="26"/>
      <x:c r="AI143" s="26"/>
      <x:c r="AJ143" s="26"/>
      <x:c r="AK143" s="26"/>
      <x:c r="AL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  <x:c r="AA144" s="26"/>
      <x:c r="AB144" s="26"/>
      <x:c r="AC144" s="26"/>
      <x:c r="AD144" s="26"/>
      <x:c r="AE144" s="26"/>
      <x:c r="AF144" s="26"/>
      <x:c r="AG144" s="26"/>
      <x:c r="AH144" s="26"/>
      <x:c r="AI144" s="26"/>
      <x:c r="AJ144" s="26"/>
      <x:c r="AK144" s="26"/>
      <x:c r="AL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  <x:c r="AA145" s="26"/>
      <x:c r="AB145" s="26"/>
      <x:c r="AC145" s="26"/>
      <x:c r="AD145" s="26"/>
      <x:c r="AE145" s="26"/>
      <x:c r="AF145" s="26"/>
      <x:c r="AG145" s="26"/>
      <x:c r="AH145" s="26"/>
      <x:c r="AI145" s="26"/>
      <x:c r="AJ145" s="26"/>
      <x:c r="AK145" s="26"/>
      <x:c r="AL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  <x:c r="AA146" s="26"/>
      <x:c r="AB146" s="26"/>
      <x:c r="AC146" s="26"/>
      <x:c r="AD146" s="26"/>
      <x:c r="AE146" s="26"/>
      <x:c r="AF146" s="26"/>
      <x:c r="AG146" s="26"/>
      <x:c r="AH146" s="26"/>
      <x:c r="AI146" s="26"/>
      <x:c r="AJ146" s="26"/>
      <x:c r="AK146" s="26"/>
      <x:c r="AL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  <x:c r="AA147" s="26"/>
      <x:c r="AB147" s="26"/>
      <x:c r="AC147" s="26"/>
      <x:c r="AD147" s="26"/>
      <x:c r="AE147" s="26"/>
      <x:c r="AF147" s="26"/>
      <x:c r="AG147" s="26"/>
      <x:c r="AH147" s="26"/>
      <x:c r="AI147" s="26"/>
      <x:c r="AJ147" s="26"/>
      <x:c r="AK147" s="26"/>
      <x:c r="AL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  <x:c r="AA148" s="26"/>
      <x:c r="AB148" s="26"/>
      <x:c r="AC148" s="26"/>
      <x:c r="AD148" s="26"/>
      <x:c r="AE148" s="26"/>
      <x:c r="AF148" s="26"/>
      <x:c r="AG148" s="26"/>
      <x:c r="AH148" s="26"/>
      <x:c r="AI148" s="26"/>
      <x:c r="AJ148" s="26"/>
      <x:c r="AK148" s="26"/>
      <x:c r="AL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  <x:c r="AA149" s="26"/>
      <x:c r="AB149" s="26"/>
      <x:c r="AC149" s="26"/>
      <x:c r="AD149" s="26"/>
      <x:c r="AE149" s="26"/>
      <x:c r="AF149" s="26"/>
      <x:c r="AG149" s="26"/>
      <x:c r="AH149" s="26"/>
      <x:c r="AI149" s="26"/>
      <x:c r="AJ149" s="26"/>
      <x:c r="AK149" s="26"/>
      <x:c r="AL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  <x:c r="AA150" s="26"/>
      <x:c r="AB150" s="26"/>
      <x:c r="AC150" s="26"/>
      <x:c r="AD150" s="26"/>
      <x:c r="AE150" s="26"/>
      <x:c r="AF150" s="26"/>
      <x:c r="AG150" s="26"/>
      <x:c r="AH150" s="26"/>
      <x:c r="AI150" s="26"/>
      <x:c r="AJ150" s="26"/>
      <x:c r="AK150" s="26"/>
      <x:c r="AL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  <x:c r="AA151" s="26"/>
      <x:c r="AB151" s="26"/>
      <x:c r="AC151" s="26"/>
      <x:c r="AD151" s="26"/>
      <x:c r="AE151" s="26"/>
      <x:c r="AF151" s="26"/>
      <x:c r="AG151" s="26"/>
      <x:c r="AH151" s="26"/>
      <x:c r="AI151" s="26"/>
      <x:c r="AJ151" s="26"/>
      <x:c r="AK151" s="26"/>
      <x:c r="AL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  <x:c r="AA152" s="26"/>
      <x:c r="AB152" s="26"/>
      <x:c r="AC152" s="26"/>
      <x:c r="AD152" s="26"/>
      <x:c r="AE152" s="26"/>
      <x:c r="AF152" s="26"/>
      <x:c r="AG152" s="26"/>
      <x:c r="AH152" s="26"/>
      <x:c r="AI152" s="26"/>
      <x:c r="AJ152" s="26"/>
      <x:c r="AK152" s="26"/>
      <x:c r="AL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  <x:c r="AA153" s="26"/>
      <x:c r="AB153" s="26"/>
      <x:c r="AC153" s="26"/>
      <x:c r="AD153" s="26"/>
      <x:c r="AE153" s="26"/>
      <x:c r="AF153" s="26"/>
      <x:c r="AG153" s="26"/>
      <x:c r="AH153" s="26"/>
      <x:c r="AI153" s="26"/>
      <x:c r="AJ153" s="26"/>
      <x:c r="AK153" s="26"/>
      <x:c r="AL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  <x:c r="AA154" s="26"/>
      <x:c r="AB154" s="26"/>
      <x:c r="AC154" s="26"/>
      <x:c r="AD154" s="26"/>
      <x:c r="AE154" s="26"/>
      <x:c r="AF154" s="26"/>
      <x:c r="AG154" s="26"/>
      <x:c r="AH154" s="26"/>
      <x:c r="AI154" s="26"/>
      <x:c r="AJ154" s="26"/>
      <x:c r="AK154" s="26"/>
      <x:c r="AL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  <x:c r="AA155" s="26"/>
      <x:c r="AB155" s="26"/>
      <x:c r="AC155" s="26"/>
      <x:c r="AD155" s="26"/>
      <x:c r="AE155" s="26"/>
      <x:c r="AF155" s="26"/>
      <x:c r="AG155" s="26"/>
      <x:c r="AH155" s="26"/>
      <x:c r="AI155" s="26"/>
      <x:c r="AJ155" s="26"/>
      <x:c r="AK155" s="26"/>
      <x:c r="AL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  <x:c r="AA156" s="26"/>
      <x:c r="AB156" s="26"/>
      <x:c r="AC156" s="26"/>
      <x:c r="AD156" s="26"/>
      <x:c r="AE156" s="26"/>
      <x:c r="AF156" s="26"/>
      <x:c r="AG156" s="26"/>
      <x:c r="AH156" s="26"/>
      <x:c r="AI156" s="26"/>
      <x:c r="AJ156" s="26"/>
      <x:c r="AK156" s="26"/>
      <x:c r="AL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  <x:c r="AA157" s="26"/>
      <x:c r="AB157" s="26"/>
      <x:c r="AC157" s="26"/>
      <x:c r="AD157" s="26"/>
      <x:c r="AE157" s="26"/>
      <x:c r="AF157" s="26"/>
      <x:c r="AG157" s="26"/>
      <x:c r="AH157" s="26"/>
      <x:c r="AI157" s="26"/>
      <x:c r="AJ157" s="26"/>
      <x:c r="AK157" s="26"/>
      <x:c r="AL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  <x:c r="AA158" s="26"/>
      <x:c r="AB158" s="26"/>
      <x:c r="AC158" s="26"/>
      <x:c r="AD158" s="26"/>
      <x:c r="AE158" s="26"/>
      <x:c r="AF158" s="26"/>
      <x:c r="AG158" s="26"/>
      <x:c r="AH158" s="26"/>
      <x:c r="AI158" s="26"/>
      <x:c r="AJ158" s="26"/>
      <x:c r="AK158" s="26"/>
      <x:c r="AL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  <x:c r="AA159" s="26"/>
      <x:c r="AB159" s="26"/>
      <x:c r="AC159" s="26"/>
      <x:c r="AD159" s="26"/>
      <x:c r="AE159" s="26"/>
      <x:c r="AF159" s="26"/>
      <x:c r="AG159" s="26"/>
      <x:c r="AH159" s="26"/>
      <x:c r="AI159" s="26"/>
      <x:c r="AJ159" s="26"/>
      <x:c r="AK159" s="26"/>
      <x:c r="AL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  <x:c r="AA160" s="26"/>
      <x:c r="AB160" s="26"/>
      <x:c r="AC160" s="26"/>
      <x:c r="AD160" s="26"/>
      <x:c r="AE160" s="26"/>
      <x:c r="AF160" s="26"/>
      <x:c r="AG160" s="26"/>
      <x:c r="AH160" s="26"/>
      <x:c r="AI160" s="26"/>
      <x:c r="AJ160" s="26"/>
      <x:c r="AK160" s="26"/>
      <x:c r="AL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  <x:c r="AA161" s="26"/>
      <x:c r="AB161" s="26"/>
      <x:c r="AC161" s="26"/>
      <x:c r="AD161" s="26"/>
      <x:c r="AE161" s="26"/>
      <x:c r="AF161" s="26"/>
      <x:c r="AG161" s="26"/>
      <x:c r="AH161" s="26"/>
      <x:c r="AI161" s="26"/>
      <x:c r="AJ161" s="26"/>
      <x:c r="AK161" s="26"/>
      <x:c r="AL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  <x:c r="AA162" s="26"/>
      <x:c r="AB162" s="26"/>
      <x:c r="AC162" s="26"/>
      <x:c r="AD162" s="26"/>
      <x:c r="AE162" s="26"/>
      <x:c r="AF162" s="26"/>
      <x:c r="AG162" s="26"/>
      <x:c r="AH162" s="26"/>
      <x:c r="AI162" s="26"/>
      <x:c r="AJ162" s="26"/>
      <x:c r="AK162" s="26"/>
      <x:c r="AL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  <x:c r="AA163" s="26"/>
      <x:c r="AB163" s="26"/>
      <x:c r="AC163" s="26"/>
      <x:c r="AD163" s="26"/>
      <x:c r="AE163" s="26"/>
      <x:c r="AF163" s="26"/>
      <x:c r="AG163" s="26"/>
      <x:c r="AH163" s="26"/>
      <x:c r="AI163" s="26"/>
      <x:c r="AJ163" s="26"/>
      <x:c r="AK163" s="26"/>
      <x:c r="AL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  <x:c r="AA164" s="26"/>
      <x:c r="AB164" s="26"/>
      <x:c r="AC164" s="26"/>
      <x:c r="AD164" s="26"/>
      <x:c r="AE164" s="26"/>
      <x:c r="AF164" s="26"/>
      <x:c r="AG164" s="26"/>
      <x:c r="AH164" s="26"/>
      <x:c r="AI164" s="26"/>
      <x:c r="AJ164" s="26"/>
      <x:c r="AK164" s="26"/>
      <x:c r="AL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  <x:c r="AA165" s="26"/>
      <x:c r="AB165" s="26"/>
      <x:c r="AC165" s="26"/>
      <x:c r="AD165" s="26"/>
      <x:c r="AE165" s="26"/>
      <x:c r="AF165" s="26"/>
      <x:c r="AG165" s="26"/>
      <x:c r="AH165" s="26"/>
      <x:c r="AI165" s="26"/>
      <x:c r="AJ165" s="26"/>
      <x:c r="AK165" s="26"/>
      <x:c r="AL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  <x:c r="AA166" s="26"/>
      <x:c r="AB166" s="26"/>
      <x:c r="AC166" s="26"/>
      <x:c r="AD166" s="26"/>
      <x:c r="AE166" s="26"/>
      <x:c r="AF166" s="26"/>
      <x:c r="AG166" s="26"/>
      <x:c r="AH166" s="26"/>
      <x:c r="AI166" s="26"/>
      <x:c r="AJ166" s="26"/>
      <x:c r="AK166" s="26"/>
      <x:c r="AL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  <x:c r="AA167" s="26"/>
      <x:c r="AB167" s="26"/>
      <x:c r="AC167" s="26"/>
      <x:c r="AD167" s="26"/>
      <x:c r="AE167" s="26"/>
      <x:c r="AF167" s="26"/>
      <x:c r="AG167" s="26"/>
      <x:c r="AH167" s="26"/>
      <x:c r="AI167" s="26"/>
      <x:c r="AJ167" s="26"/>
      <x:c r="AK167" s="26"/>
      <x:c r="AL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  <x:c r="AA168" s="26"/>
      <x:c r="AB168" s="26"/>
      <x:c r="AC168" s="26"/>
      <x:c r="AD168" s="26"/>
      <x:c r="AE168" s="26"/>
      <x:c r="AF168" s="26"/>
      <x:c r="AG168" s="26"/>
      <x:c r="AH168" s="26"/>
      <x:c r="AI168" s="26"/>
      <x:c r="AJ168" s="26"/>
      <x:c r="AK168" s="26"/>
      <x:c r="AL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  <x:c r="AA169" s="26"/>
      <x:c r="AB169" s="26"/>
      <x:c r="AC169" s="26"/>
      <x:c r="AD169" s="26"/>
      <x:c r="AE169" s="26"/>
      <x:c r="AF169" s="26"/>
      <x:c r="AG169" s="26"/>
      <x:c r="AH169" s="26"/>
      <x:c r="AI169" s="26"/>
      <x:c r="AJ169" s="26"/>
      <x:c r="AK169" s="26"/>
      <x:c r="AL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  <x:c r="AA170" s="26"/>
      <x:c r="AB170" s="26"/>
      <x:c r="AC170" s="26"/>
      <x:c r="AD170" s="26"/>
      <x:c r="AE170" s="26"/>
      <x:c r="AF170" s="26"/>
      <x:c r="AG170" s="26"/>
      <x:c r="AH170" s="26"/>
      <x:c r="AI170" s="26"/>
      <x:c r="AJ170" s="26"/>
      <x:c r="AK170" s="26"/>
      <x:c r="AL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  <x:c r="AA171" s="26"/>
      <x:c r="AB171" s="26"/>
      <x:c r="AC171" s="26"/>
      <x:c r="AD171" s="26"/>
      <x:c r="AE171" s="26"/>
      <x:c r="AF171" s="26"/>
      <x:c r="AG171" s="26"/>
      <x:c r="AH171" s="26"/>
      <x:c r="AI171" s="26"/>
      <x:c r="AJ171" s="26"/>
      <x:c r="AK171" s="26"/>
      <x:c r="AL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  <x:c r="AA172" s="26"/>
      <x:c r="AB172" s="26"/>
      <x:c r="AC172" s="26"/>
      <x:c r="AD172" s="26"/>
      <x:c r="AE172" s="26"/>
      <x:c r="AF172" s="26"/>
      <x:c r="AG172" s="26"/>
      <x:c r="AH172" s="26"/>
      <x:c r="AI172" s="26"/>
      <x:c r="AJ172" s="26"/>
      <x:c r="AK172" s="26"/>
      <x:c r="AL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  <x:c r="AA173" s="26"/>
      <x:c r="AB173" s="26"/>
      <x:c r="AC173" s="26"/>
      <x:c r="AD173" s="26"/>
      <x:c r="AE173" s="26"/>
      <x:c r="AF173" s="26"/>
      <x:c r="AG173" s="26"/>
      <x:c r="AH173" s="26"/>
      <x:c r="AI173" s="26"/>
      <x:c r="AJ173" s="26"/>
      <x:c r="AK173" s="26"/>
      <x:c r="AL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  <x:c r="AA174" s="26"/>
      <x:c r="AB174" s="26"/>
      <x:c r="AC174" s="26"/>
      <x:c r="AD174" s="26"/>
      <x:c r="AE174" s="26"/>
      <x:c r="AF174" s="26"/>
      <x:c r="AG174" s="26"/>
      <x:c r="AH174" s="26"/>
      <x:c r="AI174" s="26"/>
      <x:c r="AJ174" s="26"/>
      <x:c r="AK174" s="26"/>
      <x:c r="AL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  <x:c r="AA175" s="26"/>
      <x:c r="AB175" s="26"/>
      <x:c r="AC175" s="26"/>
      <x:c r="AD175" s="26"/>
      <x:c r="AE175" s="26"/>
      <x:c r="AF175" s="26"/>
      <x:c r="AG175" s="26"/>
      <x:c r="AH175" s="26"/>
      <x:c r="AI175" s="26"/>
      <x:c r="AJ175" s="26"/>
      <x:c r="AK175" s="26"/>
      <x:c r="AL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  <x:c r="AA176" s="26"/>
      <x:c r="AB176" s="26"/>
      <x:c r="AC176" s="26"/>
      <x:c r="AD176" s="26"/>
      <x:c r="AE176" s="26"/>
      <x:c r="AF176" s="26"/>
      <x:c r="AG176" s="26"/>
      <x:c r="AH176" s="26"/>
      <x:c r="AI176" s="26"/>
      <x:c r="AJ176" s="26"/>
      <x:c r="AK176" s="26"/>
      <x:c r="AL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  <x:c r="AA177" s="26"/>
      <x:c r="AB177" s="26"/>
      <x:c r="AC177" s="26"/>
      <x:c r="AD177" s="26"/>
      <x:c r="AE177" s="26"/>
      <x:c r="AF177" s="26"/>
      <x:c r="AG177" s="26"/>
      <x:c r="AH177" s="26"/>
      <x:c r="AI177" s="26"/>
      <x:c r="AJ177" s="26"/>
      <x:c r="AK177" s="26"/>
      <x:c r="AL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  <x:c r="AA178" s="26"/>
      <x:c r="AB178" s="26"/>
      <x:c r="AC178" s="26"/>
      <x:c r="AD178" s="26"/>
      <x:c r="AE178" s="26"/>
      <x:c r="AF178" s="26"/>
      <x:c r="AG178" s="26"/>
      <x:c r="AH178" s="26"/>
      <x:c r="AI178" s="26"/>
      <x:c r="AJ178" s="26"/>
      <x:c r="AK178" s="26"/>
      <x:c r="AL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  <x:c r="AA179" s="26"/>
      <x:c r="AB179" s="26"/>
      <x:c r="AC179" s="26"/>
      <x:c r="AD179" s="26"/>
      <x:c r="AE179" s="26"/>
      <x:c r="AF179" s="26"/>
      <x:c r="AG179" s="26"/>
      <x:c r="AH179" s="26"/>
      <x:c r="AI179" s="26"/>
      <x:c r="AJ179" s="26"/>
      <x:c r="AK179" s="26"/>
      <x:c r="AL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  <x:c r="AA180" s="26"/>
      <x:c r="AB180" s="26"/>
      <x:c r="AC180" s="26"/>
      <x:c r="AD180" s="26"/>
      <x:c r="AE180" s="26"/>
      <x:c r="AF180" s="26"/>
      <x:c r="AG180" s="26"/>
      <x:c r="AH180" s="26"/>
      <x:c r="AI180" s="26"/>
      <x:c r="AJ180" s="26"/>
      <x:c r="AK180" s="26"/>
      <x:c r="AL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  <x:c r="AA181" s="26"/>
      <x:c r="AB181" s="26"/>
      <x:c r="AC181" s="26"/>
      <x:c r="AD181" s="26"/>
      <x:c r="AE181" s="26"/>
      <x:c r="AF181" s="26"/>
      <x:c r="AG181" s="26"/>
      <x:c r="AH181" s="26"/>
      <x:c r="AI181" s="26"/>
      <x:c r="AJ181" s="26"/>
      <x:c r="AK181" s="26"/>
      <x:c r="AL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  <x:c r="AA182" s="26"/>
      <x:c r="AB182" s="26"/>
      <x:c r="AC182" s="26"/>
      <x:c r="AD182" s="26"/>
      <x:c r="AE182" s="26"/>
      <x:c r="AF182" s="26"/>
      <x:c r="AG182" s="26"/>
      <x:c r="AH182" s="26"/>
      <x:c r="AI182" s="26"/>
      <x:c r="AJ182" s="26"/>
      <x:c r="AK182" s="26"/>
      <x:c r="AL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  <x:c r="AA183" s="26"/>
      <x:c r="AB183" s="26"/>
      <x:c r="AC183" s="26"/>
      <x:c r="AD183" s="26"/>
      <x:c r="AE183" s="26"/>
      <x:c r="AF183" s="26"/>
      <x:c r="AG183" s="26"/>
      <x:c r="AH183" s="26"/>
      <x:c r="AI183" s="26"/>
      <x:c r="AJ183" s="26"/>
      <x:c r="AK183" s="26"/>
      <x:c r="AL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  <x:c r="AA184" s="26"/>
      <x:c r="AB184" s="26"/>
      <x:c r="AC184" s="26"/>
      <x:c r="AD184" s="26"/>
      <x:c r="AE184" s="26"/>
      <x:c r="AF184" s="26"/>
      <x:c r="AG184" s="26"/>
      <x:c r="AH184" s="26"/>
      <x:c r="AI184" s="26"/>
      <x:c r="AJ184" s="26"/>
      <x:c r="AK184" s="26"/>
      <x:c r="AL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  <x:c r="AA185" s="26"/>
      <x:c r="AB185" s="26"/>
      <x:c r="AC185" s="26"/>
      <x:c r="AD185" s="26"/>
      <x:c r="AE185" s="26"/>
      <x:c r="AF185" s="26"/>
      <x:c r="AG185" s="26"/>
      <x:c r="AH185" s="26"/>
      <x:c r="AI185" s="26"/>
      <x:c r="AJ185" s="26"/>
      <x:c r="AK185" s="26"/>
      <x:c r="AL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  <x:c r="AA186" s="26"/>
      <x:c r="AB186" s="26"/>
      <x:c r="AC186" s="26"/>
      <x:c r="AD186" s="26"/>
      <x:c r="AE186" s="26"/>
      <x:c r="AF186" s="26"/>
      <x:c r="AG186" s="26"/>
      <x:c r="AH186" s="26"/>
      <x:c r="AI186" s="26"/>
      <x:c r="AJ186" s="26"/>
      <x:c r="AK186" s="26"/>
      <x:c r="AL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  <x:c r="AA187" s="26"/>
      <x:c r="AB187" s="26"/>
      <x:c r="AC187" s="26"/>
      <x:c r="AD187" s="26"/>
      <x:c r="AE187" s="26"/>
      <x:c r="AF187" s="26"/>
      <x:c r="AG187" s="26"/>
      <x:c r="AH187" s="26"/>
      <x:c r="AI187" s="26"/>
      <x:c r="AJ187" s="26"/>
      <x:c r="AK187" s="26"/>
      <x:c r="AL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  <x:c r="AA188" s="26"/>
      <x:c r="AB188" s="26"/>
      <x:c r="AC188" s="26"/>
      <x:c r="AD188" s="26"/>
      <x:c r="AE188" s="26"/>
      <x:c r="AF188" s="26"/>
      <x:c r="AG188" s="26"/>
      <x:c r="AH188" s="26"/>
      <x:c r="AI188" s="26"/>
      <x:c r="AJ188" s="26"/>
      <x:c r="AK188" s="26"/>
      <x:c r="AL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  <x:c r="AA189" s="26"/>
      <x:c r="AB189" s="26"/>
      <x:c r="AC189" s="26"/>
      <x:c r="AD189" s="26"/>
      <x:c r="AE189" s="26"/>
      <x:c r="AF189" s="26"/>
      <x:c r="AG189" s="26"/>
      <x:c r="AH189" s="26"/>
      <x:c r="AI189" s="26"/>
      <x:c r="AJ189" s="26"/>
      <x:c r="AK189" s="26"/>
      <x:c r="AL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  <x:c r="AA190" s="26"/>
      <x:c r="AB190" s="26"/>
      <x:c r="AC190" s="26"/>
      <x:c r="AD190" s="26"/>
      <x:c r="AE190" s="26"/>
      <x:c r="AF190" s="26"/>
      <x:c r="AG190" s="26"/>
      <x:c r="AH190" s="26"/>
      <x:c r="AI190" s="26"/>
      <x:c r="AJ190" s="26"/>
      <x:c r="AK190" s="26"/>
      <x:c r="AL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  <x:c r="AA191" s="26"/>
      <x:c r="AB191" s="26"/>
      <x:c r="AC191" s="26"/>
      <x:c r="AD191" s="26"/>
      <x:c r="AE191" s="26"/>
      <x:c r="AF191" s="26"/>
      <x:c r="AG191" s="26"/>
      <x:c r="AH191" s="26"/>
      <x:c r="AI191" s="26"/>
      <x:c r="AJ191" s="26"/>
      <x:c r="AK191" s="26"/>
      <x:c r="AL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  <x:c r="AA192" s="26"/>
      <x:c r="AB192" s="26"/>
      <x:c r="AC192" s="26"/>
      <x:c r="AD192" s="26"/>
      <x:c r="AE192" s="26"/>
      <x:c r="AF192" s="26"/>
      <x:c r="AG192" s="26"/>
      <x:c r="AH192" s="26"/>
      <x:c r="AI192" s="26"/>
      <x:c r="AJ192" s="26"/>
      <x:c r="AK192" s="26"/>
      <x:c r="AL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  <x:c r="AA193" s="26"/>
      <x:c r="AB193" s="26"/>
      <x:c r="AC193" s="26"/>
      <x:c r="AD193" s="26"/>
      <x:c r="AE193" s="26"/>
      <x:c r="AF193" s="26"/>
      <x:c r="AG193" s="26"/>
      <x:c r="AH193" s="26"/>
      <x:c r="AI193" s="26"/>
      <x:c r="AJ193" s="26"/>
      <x:c r="AK193" s="26"/>
      <x:c r="AL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  <x:c r="AA194" s="26"/>
      <x:c r="AB194" s="26"/>
      <x:c r="AC194" s="26"/>
      <x:c r="AD194" s="26"/>
      <x:c r="AE194" s="26"/>
      <x:c r="AF194" s="26"/>
      <x:c r="AG194" s="26"/>
      <x:c r="AH194" s="26"/>
      <x:c r="AI194" s="26"/>
      <x:c r="AJ194" s="26"/>
      <x:c r="AK194" s="26"/>
      <x:c r="AL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  <x:c r="AA195" s="26"/>
      <x:c r="AB195" s="26"/>
      <x:c r="AC195" s="26"/>
      <x:c r="AD195" s="26"/>
      <x:c r="AE195" s="26"/>
      <x:c r="AF195" s="26"/>
      <x:c r="AG195" s="26"/>
      <x:c r="AH195" s="26"/>
      <x:c r="AI195" s="26"/>
      <x:c r="AJ195" s="26"/>
      <x:c r="AK195" s="26"/>
      <x:c r="AL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  <x:c r="AA196" s="26"/>
      <x:c r="AB196" s="26"/>
      <x:c r="AC196" s="26"/>
      <x:c r="AD196" s="26"/>
      <x:c r="AE196" s="26"/>
      <x:c r="AF196" s="26"/>
      <x:c r="AG196" s="26"/>
      <x:c r="AH196" s="26"/>
      <x:c r="AI196" s="26"/>
      <x:c r="AJ196" s="26"/>
      <x:c r="AK196" s="26"/>
      <x:c r="AL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  <x:c r="AA197" s="26"/>
      <x:c r="AB197" s="26"/>
      <x:c r="AC197" s="26"/>
      <x:c r="AD197" s="26"/>
      <x:c r="AE197" s="26"/>
      <x:c r="AF197" s="26"/>
      <x:c r="AG197" s="26"/>
      <x:c r="AH197" s="26"/>
      <x:c r="AI197" s="26"/>
      <x:c r="AJ197" s="26"/>
      <x:c r="AK197" s="26"/>
      <x:c r="AL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  <x:c r="AA198" s="26"/>
      <x:c r="AB198" s="26"/>
      <x:c r="AC198" s="26"/>
      <x:c r="AD198" s="26"/>
      <x:c r="AE198" s="26"/>
      <x:c r="AF198" s="26"/>
      <x:c r="AG198" s="26"/>
      <x:c r="AH198" s="26"/>
      <x:c r="AI198" s="26"/>
      <x:c r="AJ198" s="26"/>
      <x:c r="AK198" s="26"/>
      <x:c r="AL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  <x:c r="AA199" s="26"/>
      <x:c r="AB199" s="26"/>
      <x:c r="AC199" s="26"/>
      <x:c r="AD199" s="26"/>
      <x:c r="AE199" s="26"/>
      <x:c r="AF199" s="26"/>
      <x:c r="AG199" s="26"/>
      <x:c r="AH199" s="26"/>
      <x:c r="AI199" s="26"/>
      <x:c r="AJ199" s="26"/>
      <x:c r="AK199" s="26"/>
      <x:c r="AL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  <x:c r="AA200" s="26"/>
      <x:c r="AB200" s="26"/>
      <x:c r="AC200" s="26"/>
      <x:c r="AD200" s="26"/>
      <x:c r="AE200" s="26"/>
      <x:c r="AF200" s="26"/>
      <x:c r="AG200" s="26"/>
      <x:c r="AH200" s="26"/>
      <x:c r="AI200" s="26"/>
      <x:c r="AJ200" s="26"/>
      <x:c r="AK200" s="26"/>
      <x:c r="AL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  <x:c r="AA201" s="26"/>
      <x:c r="AB201" s="26"/>
      <x:c r="AC201" s="26"/>
      <x:c r="AD201" s="26"/>
      <x:c r="AE201" s="26"/>
      <x:c r="AF201" s="26"/>
      <x:c r="AG201" s="26"/>
      <x:c r="AH201" s="26"/>
      <x:c r="AI201" s="26"/>
      <x:c r="AJ201" s="26"/>
      <x:c r="AK201" s="26"/>
      <x:c r="AL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  <x:c r="AA202" s="26"/>
      <x:c r="AB202" s="26"/>
      <x:c r="AC202" s="26"/>
      <x:c r="AD202" s="26"/>
      <x:c r="AE202" s="26"/>
      <x:c r="AF202" s="26"/>
      <x:c r="AG202" s="26"/>
      <x:c r="AH202" s="26"/>
      <x:c r="AI202" s="26"/>
      <x:c r="AJ202" s="26"/>
      <x:c r="AK202" s="26"/>
      <x:c r="AL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  <x:c r="AA203" s="26"/>
      <x:c r="AB203" s="26"/>
      <x:c r="AC203" s="26"/>
      <x:c r="AD203" s="26"/>
      <x:c r="AE203" s="26"/>
      <x:c r="AF203" s="26"/>
      <x:c r="AG203" s="26"/>
      <x:c r="AH203" s="26"/>
      <x:c r="AI203" s="26"/>
      <x:c r="AJ203" s="26"/>
      <x:c r="AK203" s="26"/>
      <x:c r="AL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  <x:c r="AA204" s="26"/>
      <x:c r="AB204" s="26"/>
      <x:c r="AC204" s="26"/>
      <x:c r="AD204" s="26"/>
      <x:c r="AE204" s="26"/>
      <x:c r="AF204" s="26"/>
      <x:c r="AG204" s="26"/>
      <x:c r="AH204" s="26"/>
      <x:c r="AI204" s="26"/>
      <x:c r="AJ204" s="26"/>
      <x:c r="AK204" s="26"/>
      <x:c r="AL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  <x:c r="AA205" s="26"/>
      <x:c r="AB205" s="26"/>
      <x:c r="AC205" s="26"/>
      <x:c r="AD205" s="26"/>
      <x:c r="AE205" s="26"/>
      <x:c r="AF205" s="26"/>
      <x:c r="AG205" s="26"/>
      <x:c r="AH205" s="26"/>
      <x:c r="AI205" s="26"/>
      <x:c r="AJ205" s="26"/>
      <x:c r="AK205" s="26"/>
      <x:c r="AL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  <x:c r="AA206" s="26"/>
      <x:c r="AB206" s="26"/>
      <x:c r="AC206" s="26"/>
      <x:c r="AD206" s="26"/>
      <x:c r="AE206" s="26"/>
      <x:c r="AF206" s="26"/>
      <x:c r="AG206" s="26"/>
      <x:c r="AH206" s="26"/>
      <x:c r="AI206" s="26"/>
      <x:c r="AJ206" s="26"/>
      <x:c r="AK206" s="26"/>
      <x:c r="AL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  <x:c r="AA207" s="26"/>
      <x:c r="AB207" s="26"/>
      <x:c r="AC207" s="26"/>
      <x:c r="AD207" s="26"/>
      <x:c r="AE207" s="26"/>
      <x:c r="AF207" s="26"/>
      <x:c r="AG207" s="26"/>
      <x:c r="AH207" s="26"/>
      <x:c r="AI207" s="26"/>
      <x:c r="AJ207" s="26"/>
      <x:c r="AK207" s="26"/>
      <x:c r="AL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  <x:c r="AA208" s="26"/>
      <x:c r="AB208" s="26"/>
      <x:c r="AC208" s="26"/>
      <x:c r="AD208" s="26"/>
      <x:c r="AE208" s="26"/>
      <x:c r="AF208" s="26"/>
      <x:c r="AG208" s="26"/>
      <x:c r="AH208" s="26"/>
      <x:c r="AI208" s="26"/>
      <x:c r="AJ208" s="26"/>
      <x:c r="AK208" s="26"/>
      <x:c r="AL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  <x:c r="AA209" s="26"/>
      <x:c r="AB209" s="26"/>
      <x:c r="AC209" s="26"/>
      <x:c r="AD209" s="26"/>
      <x:c r="AE209" s="26"/>
      <x:c r="AF209" s="26"/>
      <x:c r="AG209" s="26"/>
      <x:c r="AH209" s="26"/>
      <x:c r="AI209" s="26"/>
      <x:c r="AJ209" s="26"/>
      <x:c r="AK209" s="26"/>
      <x:c r="AL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  <x:c r="AA210" s="26"/>
      <x:c r="AB210" s="26"/>
      <x:c r="AC210" s="26"/>
      <x:c r="AD210" s="26"/>
      <x:c r="AE210" s="26"/>
      <x:c r="AF210" s="26"/>
      <x:c r="AG210" s="26"/>
      <x:c r="AH210" s="26"/>
      <x:c r="AI210" s="26"/>
      <x:c r="AJ210" s="26"/>
      <x:c r="AK210" s="26"/>
      <x:c r="AL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  <x:c r="AA211" s="26"/>
      <x:c r="AB211" s="26"/>
      <x:c r="AC211" s="26"/>
      <x:c r="AD211" s="26"/>
      <x:c r="AE211" s="26"/>
      <x:c r="AF211" s="26"/>
      <x:c r="AG211" s="26"/>
      <x:c r="AH211" s="26"/>
      <x:c r="AI211" s="26"/>
      <x:c r="AJ211" s="26"/>
      <x:c r="AK211" s="26"/>
      <x:c r="AL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  <x:c r="AA212" s="26"/>
      <x:c r="AB212" s="26"/>
      <x:c r="AC212" s="26"/>
      <x:c r="AD212" s="26"/>
      <x:c r="AE212" s="26"/>
      <x:c r="AF212" s="26"/>
      <x:c r="AG212" s="26"/>
      <x:c r="AH212" s="26"/>
      <x:c r="AI212" s="26"/>
      <x:c r="AJ212" s="26"/>
      <x:c r="AK212" s="26"/>
      <x:c r="AL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  <x:c r="AA213" s="26"/>
      <x:c r="AB213" s="26"/>
      <x:c r="AC213" s="26"/>
      <x:c r="AD213" s="26"/>
      <x:c r="AE213" s="26"/>
      <x:c r="AF213" s="26"/>
      <x:c r="AG213" s="26"/>
      <x:c r="AH213" s="26"/>
      <x:c r="AI213" s="26"/>
      <x:c r="AJ213" s="26"/>
      <x:c r="AK213" s="26"/>
      <x:c r="AL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  <x:c r="AA214" s="26"/>
      <x:c r="AB214" s="26"/>
      <x:c r="AC214" s="26"/>
      <x:c r="AD214" s="26"/>
      <x:c r="AE214" s="26"/>
      <x:c r="AF214" s="26"/>
      <x:c r="AG214" s="26"/>
      <x:c r="AH214" s="26"/>
      <x:c r="AI214" s="26"/>
      <x:c r="AJ214" s="26"/>
      <x:c r="AK214" s="26"/>
      <x:c r="AL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  <x:c r="AA215" s="26"/>
      <x:c r="AB215" s="26"/>
      <x:c r="AC215" s="26"/>
      <x:c r="AD215" s="26"/>
      <x:c r="AE215" s="26"/>
      <x:c r="AF215" s="26"/>
      <x:c r="AG215" s="26"/>
      <x:c r="AH215" s="26"/>
      <x:c r="AI215" s="26"/>
      <x:c r="AJ215" s="26"/>
      <x:c r="AK215" s="26"/>
      <x:c r="AL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  <x:c r="AA216" s="26"/>
      <x:c r="AB216" s="26"/>
      <x:c r="AC216" s="26"/>
      <x:c r="AD216" s="26"/>
      <x:c r="AE216" s="26"/>
      <x:c r="AF216" s="26"/>
      <x:c r="AG216" s="26"/>
      <x:c r="AH216" s="26"/>
      <x:c r="AI216" s="26"/>
      <x:c r="AJ216" s="26"/>
      <x:c r="AK216" s="26"/>
      <x:c r="AL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  <x:c r="AA217" s="26"/>
      <x:c r="AB217" s="26"/>
      <x:c r="AC217" s="26"/>
      <x:c r="AD217" s="26"/>
      <x:c r="AE217" s="26"/>
      <x:c r="AF217" s="26"/>
      <x:c r="AG217" s="26"/>
      <x:c r="AH217" s="26"/>
      <x:c r="AI217" s="26"/>
      <x:c r="AJ217" s="26"/>
      <x:c r="AK217" s="26"/>
      <x:c r="AL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  <x:c r="AA218" s="26"/>
      <x:c r="AB218" s="26"/>
      <x:c r="AC218" s="26"/>
      <x:c r="AD218" s="26"/>
      <x:c r="AE218" s="26"/>
      <x:c r="AF218" s="26"/>
      <x:c r="AG218" s="26"/>
      <x:c r="AH218" s="26"/>
      <x:c r="AI218" s="26"/>
      <x:c r="AJ218" s="26"/>
      <x:c r="AK218" s="26"/>
      <x:c r="AL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  <x:c r="AA219" s="26"/>
      <x:c r="AB219" s="26"/>
      <x:c r="AC219" s="26"/>
      <x:c r="AD219" s="26"/>
      <x:c r="AE219" s="26"/>
      <x:c r="AF219" s="26"/>
      <x:c r="AG219" s="26"/>
      <x:c r="AH219" s="26"/>
      <x:c r="AI219" s="26"/>
      <x:c r="AJ219" s="26"/>
      <x:c r="AK219" s="26"/>
      <x:c r="AL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  <x:c r="AA220" s="26"/>
      <x:c r="AB220" s="26"/>
      <x:c r="AC220" s="26"/>
      <x:c r="AD220" s="26"/>
      <x:c r="AE220" s="26"/>
      <x:c r="AF220" s="26"/>
      <x:c r="AG220" s="26"/>
      <x:c r="AH220" s="26"/>
      <x:c r="AI220" s="26"/>
      <x:c r="AJ220" s="26"/>
      <x:c r="AK220" s="26"/>
      <x:c r="AL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  <x:c r="AA221" s="26"/>
      <x:c r="AB221" s="26"/>
      <x:c r="AC221" s="26"/>
      <x:c r="AD221" s="26"/>
      <x:c r="AE221" s="26"/>
      <x:c r="AF221" s="26"/>
      <x:c r="AG221" s="26"/>
      <x:c r="AH221" s="26"/>
      <x:c r="AI221" s="26"/>
      <x:c r="AJ221" s="26"/>
      <x:c r="AK221" s="26"/>
      <x:c r="AL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  <x:c r="AA222" s="26"/>
      <x:c r="AB222" s="26"/>
      <x:c r="AC222" s="26"/>
      <x:c r="AD222" s="26"/>
      <x:c r="AE222" s="26"/>
      <x:c r="AF222" s="26"/>
      <x:c r="AG222" s="26"/>
      <x:c r="AH222" s="26"/>
      <x:c r="AI222" s="26"/>
      <x:c r="AJ222" s="26"/>
      <x:c r="AK222" s="26"/>
      <x:c r="AL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  <x:c r="AA223" s="26"/>
      <x:c r="AB223" s="26"/>
      <x:c r="AC223" s="26"/>
      <x:c r="AD223" s="26"/>
      <x:c r="AE223" s="26"/>
      <x:c r="AF223" s="26"/>
      <x:c r="AG223" s="26"/>
      <x:c r="AH223" s="26"/>
      <x:c r="AI223" s="26"/>
      <x:c r="AJ223" s="26"/>
      <x:c r="AK223" s="26"/>
      <x:c r="AL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  <x:c r="AA224" s="26"/>
      <x:c r="AB224" s="26"/>
      <x:c r="AC224" s="26"/>
      <x:c r="AD224" s="26"/>
      <x:c r="AE224" s="26"/>
      <x:c r="AF224" s="26"/>
      <x:c r="AG224" s="26"/>
      <x:c r="AH224" s="26"/>
      <x:c r="AI224" s="26"/>
      <x:c r="AJ224" s="26"/>
      <x:c r="AK224" s="26"/>
      <x:c r="AL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  <x:c r="AA225" s="26"/>
      <x:c r="AB225" s="26"/>
      <x:c r="AC225" s="26"/>
      <x:c r="AD225" s="26"/>
      <x:c r="AE225" s="26"/>
      <x:c r="AF225" s="26"/>
      <x:c r="AG225" s="26"/>
      <x:c r="AH225" s="26"/>
      <x:c r="AI225" s="26"/>
      <x:c r="AJ225" s="26"/>
      <x:c r="AK225" s="26"/>
      <x:c r="AL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  <x:c r="AA226" s="26"/>
      <x:c r="AB226" s="26"/>
      <x:c r="AC226" s="26"/>
      <x:c r="AD226" s="26"/>
      <x:c r="AE226" s="26"/>
      <x:c r="AF226" s="26"/>
      <x:c r="AG226" s="26"/>
      <x:c r="AH226" s="26"/>
      <x:c r="AI226" s="26"/>
      <x:c r="AJ226" s="26"/>
      <x:c r="AK226" s="26"/>
      <x:c r="AL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  <x:c r="AA227" s="26"/>
      <x:c r="AB227" s="26"/>
      <x:c r="AC227" s="26"/>
      <x:c r="AD227" s="26"/>
      <x:c r="AE227" s="26"/>
      <x:c r="AF227" s="26"/>
      <x:c r="AG227" s="26"/>
      <x:c r="AH227" s="26"/>
      <x:c r="AI227" s="26"/>
      <x:c r="AJ227" s="26"/>
      <x:c r="AK227" s="26"/>
      <x:c r="AL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  <x:c r="AA228" s="26"/>
      <x:c r="AB228" s="26"/>
      <x:c r="AC228" s="26"/>
      <x:c r="AD228" s="26"/>
      <x:c r="AE228" s="26"/>
      <x:c r="AF228" s="26"/>
      <x:c r="AG228" s="26"/>
      <x:c r="AH228" s="26"/>
      <x:c r="AI228" s="26"/>
      <x:c r="AJ228" s="26"/>
      <x:c r="AK228" s="26"/>
      <x:c r="AL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  <x:c r="AA229" s="26"/>
      <x:c r="AB229" s="26"/>
      <x:c r="AC229" s="26"/>
      <x:c r="AD229" s="26"/>
      <x:c r="AE229" s="26"/>
      <x:c r="AF229" s="26"/>
      <x:c r="AG229" s="26"/>
      <x:c r="AH229" s="26"/>
      <x:c r="AI229" s="26"/>
      <x:c r="AJ229" s="26"/>
      <x:c r="AK229" s="26"/>
      <x:c r="AL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  <x:c r="AA230" s="26"/>
      <x:c r="AB230" s="26"/>
      <x:c r="AC230" s="26"/>
      <x:c r="AD230" s="26"/>
      <x:c r="AE230" s="26"/>
      <x:c r="AF230" s="26"/>
      <x:c r="AG230" s="26"/>
      <x:c r="AH230" s="26"/>
      <x:c r="AI230" s="26"/>
      <x:c r="AJ230" s="26"/>
      <x:c r="AK230" s="26"/>
      <x:c r="AL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  <x:c r="AA231" s="26"/>
      <x:c r="AB231" s="26"/>
      <x:c r="AC231" s="26"/>
      <x:c r="AD231" s="26"/>
      <x:c r="AE231" s="26"/>
      <x:c r="AF231" s="26"/>
      <x:c r="AG231" s="26"/>
      <x:c r="AH231" s="26"/>
      <x:c r="AI231" s="26"/>
      <x:c r="AJ231" s="26"/>
      <x:c r="AK231" s="26"/>
      <x:c r="AL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  <x:c r="AA232" s="26"/>
      <x:c r="AB232" s="26"/>
      <x:c r="AC232" s="26"/>
      <x:c r="AD232" s="26"/>
      <x:c r="AE232" s="26"/>
      <x:c r="AF232" s="26"/>
      <x:c r="AG232" s="26"/>
      <x:c r="AH232" s="26"/>
      <x:c r="AI232" s="26"/>
      <x:c r="AJ232" s="26"/>
      <x:c r="AK232" s="26"/>
      <x:c r="AL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  <x:c r="AA233" s="26"/>
      <x:c r="AB233" s="26"/>
      <x:c r="AC233" s="26"/>
      <x:c r="AD233" s="26"/>
      <x:c r="AE233" s="26"/>
      <x:c r="AF233" s="26"/>
      <x:c r="AG233" s="26"/>
      <x:c r="AH233" s="26"/>
      <x:c r="AI233" s="26"/>
      <x:c r="AJ233" s="26"/>
      <x:c r="AK233" s="26"/>
      <x:c r="AL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  <x:c r="AA234" s="26"/>
      <x:c r="AB234" s="26"/>
      <x:c r="AC234" s="26"/>
      <x:c r="AD234" s="26"/>
      <x:c r="AE234" s="26"/>
      <x:c r="AF234" s="26"/>
      <x:c r="AG234" s="26"/>
      <x:c r="AH234" s="26"/>
      <x:c r="AI234" s="26"/>
      <x:c r="AJ234" s="26"/>
      <x:c r="AK234" s="26"/>
      <x:c r="AL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  <x:c r="AA235" s="26"/>
      <x:c r="AB235" s="26"/>
      <x:c r="AC235" s="26"/>
      <x:c r="AD235" s="26"/>
      <x:c r="AE235" s="26"/>
      <x:c r="AF235" s="26"/>
      <x:c r="AG235" s="26"/>
      <x:c r="AH235" s="26"/>
      <x:c r="AI235" s="26"/>
      <x:c r="AJ235" s="26"/>
      <x:c r="AK235" s="26"/>
      <x:c r="AL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  <x:c r="AA236" s="26"/>
      <x:c r="AB236" s="26"/>
      <x:c r="AC236" s="26"/>
      <x:c r="AD236" s="26"/>
      <x:c r="AE236" s="26"/>
      <x:c r="AF236" s="26"/>
      <x:c r="AG236" s="26"/>
      <x:c r="AH236" s="26"/>
      <x:c r="AI236" s="26"/>
      <x:c r="AJ236" s="26"/>
      <x:c r="AK236" s="26"/>
      <x:c r="AL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  <x:c r="AA237" s="26"/>
      <x:c r="AB237" s="26"/>
      <x:c r="AC237" s="26"/>
      <x:c r="AD237" s="26"/>
      <x:c r="AE237" s="26"/>
      <x:c r="AF237" s="26"/>
      <x:c r="AG237" s="26"/>
      <x:c r="AH237" s="26"/>
      <x:c r="AI237" s="26"/>
      <x:c r="AJ237" s="26"/>
      <x:c r="AK237" s="26"/>
      <x:c r="AL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  <x:c r="AA238" s="26"/>
      <x:c r="AB238" s="26"/>
      <x:c r="AC238" s="26"/>
      <x:c r="AD238" s="26"/>
      <x:c r="AE238" s="26"/>
      <x:c r="AF238" s="26"/>
      <x:c r="AG238" s="26"/>
      <x:c r="AH238" s="26"/>
      <x:c r="AI238" s="26"/>
      <x:c r="AJ238" s="26"/>
      <x:c r="AK238" s="26"/>
      <x:c r="AL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  <x:c r="AA239" s="26"/>
      <x:c r="AB239" s="26"/>
      <x:c r="AC239" s="26"/>
      <x:c r="AD239" s="26"/>
      <x:c r="AE239" s="26"/>
      <x:c r="AF239" s="26"/>
      <x:c r="AG239" s="26"/>
      <x:c r="AH239" s="26"/>
      <x:c r="AI239" s="26"/>
      <x:c r="AJ239" s="26"/>
      <x:c r="AK239" s="26"/>
      <x:c r="AL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  <x:c r="AA240" s="26"/>
      <x:c r="AB240" s="26"/>
      <x:c r="AC240" s="26"/>
      <x:c r="AD240" s="26"/>
      <x:c r="AE240" s="26"/>
      <x:c r="AF240" s="26"/>
      <x:c r="AG240" s="26"/>
      <x:c r="AH240" s="26"/>
      <x:c r="AI240" s="26"/>
      <x:c r="AJ240" s="26"/>
      <x:c r="AK240" s="26"/>
      <x:c r="AL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  <x:c r="AA241" s="26"/>
      <x:c r="AB241" s="26"/>
      <x:c r="AC241" s="26"/>
      <x:c r="AD241" s="26"/>
      <x:c r="AE241" s="26"/>
      <x:c r="AF241" s="26"/>
      <x:c r="AG241" s="26"/>
      <x:c r="AH241" s="26"/>
      <x:c r="AI241" s="26"/>
      <x:c r="AJ241" s="26"/>
      <x:c r="AK241" s="26"/>
      <x:c r="AL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  <x:c r="AA242" s="26"/>
      <x:c r="AB242" s="26"/>
      <x:c r="AC242" s="26"/>
      <x:c r="AD242" s="26"/>
      <x:c r="AE242" s="26"/>
      <x:c r="AF242" s="26"/>
      <x:c r="AG242" s="26"/>
      <x:c r="AH242" s="26"/>
      <x:c r="AI242" s="26"/>
      <x:c r="AJ242" s="26"/>
      <x:c r="AK242" s="26"/>
      <x:c r="AL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  <x:c r="AA243" s="26"/>
      <x:c r="AB243" s="26"/>
      <x:c r="AC243" s="26"/>
      <x:c r="AD243" s="26"/>
      <x:c r="AE243" s="26"/>
      <x:c r="AF243" s="26"/>
      <x:c r="AG243" s="26"/>
      <x:c r="AH243" s="26"/>
      <x:c r="AI243" s="26"/>
      <x:c r="AJ243" s="26"/>
      <x:c r="AK243" s="26"/>
      <x:c r="AL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  <x:c r="AA244" s="26"/>
      <x:c r="AB244" s="26"/>
      <x:c r="AC244" s="26"/>
      <x:c r="AD244" s="26"/>
      <x:c r="AE244" s="26"/>
      <x:c r="AF244" s="26"/>
      <x:c r="AG244" s="26"/>
      <x:c r="AH244" s="26"/>
      <x:c r="AI244" s="26"/>
      <x:c r="AJ244" s="26"/>
      <x:c r="AK244" s="26"/>
      <x:c r="AL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  <x:c r="AA245" s="26"/>
      <x:c r="AB245" s="26"/>
      <x:c r="AC245" s="26"/>
      <x:c r="AD245" s="26"/>
      <x:c r="AE245" s="26"/>
      <x:c r="AF245" s="26"/>
      <x:c r="AG245" s="26"/>
      <x:c r="AH245" s="26"/>
      <x:c r="AI245" s="26"/>
      <x:c r="AJ245" s="26"/>
      <x:c r="AK245" s="26"/>
      <x:c r="AL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  <x:c r="AA246" s="26"/>
      <x:c r="AB246" s="26"/>
      <x:c r="AC246" s="26"/>
      <x:c r="AD246" s="26"/>
      <x:c r="AE246" s="26"/>
      <x:c r="AF246" s="26"/>
      <x:c r="AG246" s="26"/>
      <x:c r="AH246" s="26"/>
      <x:c r="AI246" s="26"/>
      <x:c r="AJ246" s="26"/>
      <x:c r="AK246" s="26"/>
      <x:c r="AL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  <x:c r="AA247" s="26"/>
      <x:c r="AB247" s="26"/>
      <x:c r="AC247" s="26"/>
      <x:c r="AD247" s="26"/>
      <x:c r="AE247" s="26"/>
      <x:c r="AF247" s="26"/>
      <x:c r="AG247" s="26"/>
      <x:c r="AH247" s="26"/>
      <x:c r="AI247" s="26"/>
      <x:c r="AJ247" s="26"/>
      <x:c r="AK247" s="26"/>
      <x:c r="AL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  <x:c r="AA248" s="26"/>
      <x:c r="AB248" s="26"/>
      <x:c r="AC248" s="26"/>
      <x:c r="AD248" s="26"/>
      <x:c r="AE248" s="26"/>
      <x:c r="AF248" s="26"/>
      <x:c r="AG248" s="26"/>
      <x:c r="AH248" s="26"/>
      <x:c r="AI248" s="26"/>
      <x:c r="AJ248" s="26"/>
      <x:c r="AK248" s="26"/>
      <x:c r="AL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  <x:c r="AA249" s="26"/>
      <x:c r="AB249" s="26"/>
      <x:c r="AC249" s="26"/>
      <x:c r="AD249" s="26"/>
      <x:c r="AE249" s="26"/>
      <x:c r="AF249" s="26"/>
      <x:c r="AG249" s="26"/>
      <x:c r="AH249" s="26"/>
      <x:c r="AI249" s="26"/>
      <x:c r="AJ249" s="26"/>
      <x:c r="AK249" s="26"/>
      <x:c r="AL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  <x:c r="AA250" s="26"/>
      <x:c r="AB250" s="26"/>
      <x:c r="AC250" s="26"/>
      <x:c r="AD250" s="26"/>
      <x:c r="AE250" s="26"/>
      <x:c r="AF250" s="26"/>
      <x:c r="AG250" s="26"/>
      <x:c r="AH250" s="26"/>
      <x:c r="AI250" s="26"/>
      <x:c r="AJ250" s="26"/>
      <x:c r="AK250" s="26"/>
      <x:c r="AL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  <x:c r="AA251" s="26"/>
      <x:c r="AB251" s="26"/>
      <x:c r="AC251" s="26"/>
      <x:c r="AD251" s="26"/>
      <x:c r="AE251" s="26"/>
      <x:c r="AF251" s="26"/>
      <x:c r="AG251" s="26"/>
      <x:c r="AH251" s="26"/>
      <x:c r="AI251" s="26"/>
      <x:c r="AJ251" s="26"/>
      <x:c r="AK251" s="26"/>
      <x:c r="AL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  <x:c r="AA252" s="26"/>
      <x:c r="AB252" s="26"/>
      <x:c r="AC252" s="26"/>
      <x:c r="AD252" s="26"/>
      <x:c r="AE252" s="26"/>
      <x:c r="AF252" s="26"/>
      <x:c r="AG252" s="26"/>
      <x:c r="AH252" s="26"/>
      <x:c r="AI252" s="26"/>
      <x:c r="AJ252" s="26"/>
      <x:c r="AK252" s="26"/>
      <x:c r="AL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  <x:c r="AA253" s="26"/>
      <x:c r="AB253" s="26"/>
      <x:c r="AC253" s="26"/>
      <x:c r="AD253" s="26"/>
      <x:c r="AE253" s="26"/>
      <x:c r="AF253" s="26"/>
      <x:c r="AG253" s="26"/>
      <x:c r="AH253" s="26"/>
      <x:c r="AI253" s="26"/>
      <x:c r="AJ253" s="26"/>
      <x:c r="AK253" s="26"/>
      <x:c r="AL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  <x:c r="AA254" s="26"/>
      <x:c r="AB254" s="26"/>
      <x:c r="AC254" s="26"/>
      <x:c r="AD254" s="26"/>
      <x:c r="AE254" s="26"/>
      <x:c r="AF254" s="26"/>
      <x:c r="AG254" s="26"/>
      <x:c r="AH254" s="26"/>
      <x:c r="AI254" s="26"/>
      <x:c r="AJ254" s="26"/>
      <x:c r="AK254" s="26"/>
      <x:c r="AL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  <x:c r="AA255" s="26"/>
      <x:c r="AB255" s="26"/>
      <x:c r="AC255" s="26"/>
      <x:c r="AD255" s="26"/>
      <x:c r="AE255" s="26"/>
      <x:c r="AF255" s="26"/>
      <x:c r="AG255" s="26"/>
      <x:c r="AH255" s="26"/>
      <x:c r="AI255" s="26"/>
      <x:c r="AJ255" s="26"/>
      <x:c r="AK255" s="26"/>
      <x:c r="AL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  <x:c r="AA256" s="26"/>
      <x:c r="AB256" s="26"/>
      <x:c r="AC256" s="26"/>
      <x:c r="AD256" s="26"/>
      <x:c r="AE256" s="26"/>
      <x:c r="AF256" s="26"/>
      <x:c r="AG256" s="26"/>
      <x:c r="AH256" s="26"/>
      <x:c r="AI256" s="26"/>
      <x:c r="AJ256" s="26"/>
      <x:c r="AK256" s="26"/>
      <x:c r="AL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  <x:c r="AA257" s="26"/>
      <x:c r="AB257" s="26"/>
      <x:c r="AC257" s="26"/>
      <x:c r="AD257" s="26"/>
      <x:c r="AE257" s="26"/>
      <x:c r="AF257" s="26"/>
      <x:c r="AG257" s="26"/>
      <x:c r="AH257" s="26"/>
      <x:c r="AI257" s="26"/>
      <x:c r="AJ257" s="26"/>
      <x:c r="AK257" s="26"/>
      <x:c r="AL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  <x:c r="AA258" s="26"/>
      <x:c r="AB258" s="26"/>
      <x:c r="AC258" s="26"/>
      <x:c r="AD258" s="26"/>
      <x:c r="AE258" s="26"/>
      <x:c r="AF258" s="26"/>
      <x:c r="AG258" s="26"/>
      <x:c r="AH258" s="26"/>
      <x:c r="AI258" s="26"/>
      <x:c r="AJ258" s="26"/>
      <x:c r="AK258" s="26"/>
      <x:c r="AL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  <x:c r="AA259" s="26"/>
      <x:c r="AB259" s="26"/>
      <x:c r="AC259" s="26"/>
      <x:c r="AD259" s="26"/>
      <x:c r="AE259" s="26"/>
      <x:c r="AF259" s="26"/>
      <x:c r="AG259" s="26"/>
      <x:c r="AH259" s="26"/>
      <x:c r="AI259" s="26"/>
      <x:c r="AJ259" s="26"/>
      <x:c r="AK259" s="26"/>
      <x:c r="AL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  <x:c r="AA260" s="26"/>
      <x:c r="AB260" s="26"/>
      <x:c r="AC260" s="26"/>
      <x:c r="AD260" s="26"/>
      <x:c r="AE260" s="26"/>
      <x:c r="AF260" s="26"/>
      <x:c r="AG260" s="26"/>
      <x:c r="AH260" s="26"/>
      <x:c r="AI260" s="26"/>
      <x:c r="AJ260" s="26"/>
      <x:c r="AK260" s="26"/>
      <x:c r="AL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  <x:c r="AA261" s="26"/>
      <x:c r="AB261" s="26"/>
      <x:c r="AC261" s="26"/>
      <x:c r="AD261" s="26"/>
      <x:c r="AE261" s="26"/>
      <x:c r="AF261" s="26"/>
      <x:c r="AG261" s="26"/>
      <x:c r="AH261" s="26"/>
      <x:c r="AI261" s="26"/>
      <x:c r="AJ261" s="26"/>
      <x:c r="AK261" s="26"/>
      <x:c r="AL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  <x:c r="AA262" s="26"/>
      <x:c r="AB262" s="26"/>
      <x:c r="AC262" s="26"/>
      <x:c r="AD262" s="26"/>
      <x:c r="AE262" s="26"/>
      <x:c r="AF262" s="26"/>
      <x:c r="AG262" s="26"/>
      <x:c r="AH262" s="26"/>
      <x:c r="AI262" s="26"/>
      <x:c r="AJ262" s="26"/>
      <x:c r="AK262" s="26"/>
      <x:c r="AL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  <x:c r="AA263" s="26"/>
      <x:c r="AB263" s="26"/>
      <x:c r="AC263" s="26"/>
      <x:c r="AD263" s="26"/>
      <x:c r="AE263" s="26"/>
      <x:c r="AF263" s="26"/>
      <x:c r="AG263" s="26"/>
      <x:c r="AH263" s="26"/>
      <x:c r="AI263" s="26"/>
      <x:c r="AJ263" s="26"/>
      <x:c r="AK263" s="26"/>
      <x:c r="AL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  <x:c r="AA264" s="26"/>
      <x:c r="AB264" s="26"/>
      <x:c r="AC264" s="26"/>
      <x:c r="AD264" s="26"/>
      <x:c r="AE264" s="26"/>
      <x:c r="AF264" s="26"/>
      <x:c r="AG264" s="26"/>
      <x:c r="AH264" s="26"/>
      <x:c r="AI264" s="26"/>
      <x:c r="AJ264" s="26"/>
      <x:c r="AK264" s="26"/>
      <x:c r="AL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  <x:c r="AA265" s="26"/>
      <x:c r="AB265" s="26"/>
      <x:c r="AC265" s="26"/>
      <x:c r="AD265" s="26"/>
      <x:c r="AE265" s="26"/>
      <x:c r="AF265" s="26"/>
      <x:c r="AG265" s="26"/>
      <x:c r="AH265" s="26"/>
      <x:c r="AI265" s="26"/>
      <x:c r="AJ265" s="26"/>
      <x:c r="AK265" s="26"/>
      <x:c r="AL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  <x:c r="AA266" s="26"/>
      <x:c r="AB266" s="26"/>
      <x:c r="AC266" s="26"/>
      <x:c r="AD266" s="26"/>
      <x:c r="AE266" s="26"/>
      <x:c r="AF266" s="26"/>
      <x:c r="AG266" s="26"/>
      <x:c r="AH266" s="26"/>
      <x:c r="AI266" s="26"/>
      <x:c r="AJ266" s="26"/>
      <x:c r="AK266" s="26"/>
      <x:c r="AL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  <x:c r="AA267" s="26"/>
      <x:c r="AB267" s="26"/>
      <x:c r="AC267" s="26"/>
      <x:c r="AD267" s="26"/>
      <x:c r="AE267" s="26"/>
      <x:c r="AF267" s="26"/>
      <x:c r="AG267" s="26"/>
      <x:c r="AH267" s="26"/>
      <x:c r="AI267" s="26"/>
      <x:c r="AJ267" s="26"/>
      <x:c r="AK267" s="26"/>
      <x:c r="AL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  <x:c r="AA268" s="26"/>
      <x:c r="AB268" s="26"/>
      <x:c r="AC268" s="26"/>
      <x:c r="AD268" s="26"/>
      <x:c r="AE268" s="26"/>
      <x:c r="AF268" s="26"/>
      <x:c r="AG268" s="26"/>
      <x:c r="AH268" s="26"/>
      <x:c r="AI268" s="26"/>
      <x:c r="AJ268" s="26"/>
      <x:c r="AK268" s="26"/>
      <x:c r="AL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  <x:c r="AA269" s="26"/>
      <x:c r="AB269" s="26"/>
      <x:c r="AC269" s="26"/>
      <x:c r="AD269" s="26"/>
      <x:c r="AE269" s="26"/>
      <x:c r="AF269" s="26"/>
      <x:c r="AG269" s="26"/>
      <x:c r="AH269" s="26"/>
      <x:c r="AI269" s="26"/>
      <x:c r="AJ269" s="26"/>
      <x:c r="AK269" s="26"/>
      <x:c r="AL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  <x:c r="AA270" s="26"/>
      <x:c r="AB270" s="26"/>
      <x:c r="AC270" s="26"/>
      <x:c r="AD270" s="26"/>
      <x:c r="AE270" s="26"/>
      <x:c r="AF270" s="26"/>
      <x:c r="AG270" s="26"/>
      <x:c r="AH270" s="26"/>
      <x:c r="AI270" s="26"/>
      <x:c r="AJ270" s="26"/>
      <x:c r="AK270" s="26"/>
      <x:c r="AL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  <x:c r="AA271" s="26"/>
      <x:c r="AB271" s="26"/>
      <x:c r="AC271" s="26"/>
      <x:c r="AD271" s="26"/>
      <x:c r="AE271" s="26"/>
      <x:c r="AF271" s="26"/>
      <x:c r="AG271" s="26"/>
      <x:c r="AH271" s="26"/>
      <x:c r="AI271" s="26"/>
      <x:c r="AJ271" s="26"/>
      <x:c r="AK271" s="26"/>
      <x:c r="AL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  <x:c r="AA272" s="26"/>
      <x:c r="AB272" s="26"/>
      <x:c r="AC272" s="26"/>
      <x:c r="AD272" s="26"/>
      <x:c r="AE272" s="26"/>
      <x:c r="AF272" s="26"/>
      <x:c r="AG272" s="26"/>
      <x:c r="AH272" s="26"/>
      <x:c r="AI272" s="26"/>
      <x:c r="AJ272" s="26"/>
      <x:c r="AK272" s="26"/>
      <x:c r="AL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  <x:c r="AA273" s="26"/>
      <x:c r="AB273" s="26"/>
      <x:c r="AC273" s="26"/>
      <x:c r="AD273" s="26"/>
      <x:c r="AE273" s="26"/>
      <x:c r="AF273" s="26"/>
      <x:c r="AG273" s="26"/>
      <x:c r="AH273" s="26"/>
      <x:c r="AI273" s="26"/>
      <x:c r="AJ273" s="26"/>
      <x:c r="AK273" s="26"/>
      <x:c r="AL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  <x:c r="AA274" s="26"/>
      <x:c r="AB274" s="26"/>
      <x:c r="AC274" s="26"/>
      <x:c r="AD274" s="26"/>
      <x:c r="AE274" s="26"/>
      <x:c r="AF274" s="26"/>
      <x:c r="AG274" s="26"/>
      <x:c r="AH274" s="26"/>
      <x:c r="AI274" s="26"/>
      <x:c r="AJ274" s="26"/>
      <x:c r="AK274" s="26"/>
      <x:c r="AL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  <x:c r="AA275" s="26"/>
      <x:c r="AB275" s="26"/>
      <x:c r="AC275" s="26"/>
      <x:c r="AD275" s="26"/>
      <x:c r="AE275" s="26"/>
      <x:c r="AF275" s="26"/>
      <x:c r="AG275" s="26"/>
      <x:c r="AH275" s="26"/>
      <x:c r="AI275" s="26"/>
      <x:c r="AJ275" s="26"/>
      <x:c r="AK275" s="26"/>
      <x:c r="AL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  <x:c r="AA276" s="26"/>
      <x:c r="AB276" s="26"/>
      <x:c r="AC276" s="26"/>
      <x:c r="AD276" s="26"/>
      <x:c r="AE276" s="26"/>
      <x:c r="AF276" s="26"/>
      <x:c r="AG276" s="26"/>
      <x:c r="AH276" s="26"/>
      <x:c r="AI276" s="26"/>
      <x:c r="AJ276" s="26"/>
      <x:c r="AK276" s="26"/>
      <x:c r="AL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  <x:c r="AA277" s="26"/>
      <x:c r="AB277" s="26"/>
      <x:c r="AC277" s="26"/>
      <x:c r="AD277" s="26"/>
      <x:c r="AE277" s="26"/>
      <x:c r="AF277" s="26"/>
      <x:c r="AG277" s="26"/>
      <x:c r="AH277" s="26"/>
      <x:c r="AI277" s="26"/>
      <x:c r="AJ277" s="26"/>
      <x:c r="AK277" s="26"/>
      <x:c r="AL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  <x:c r="AA278" s="26"/>
      <x:c r="AB278" s="26"/>
      <x:c r="AC278" s="26"/>
      <x:c r="AD278" s="26"/>
      <x:c r="AE278" s="26"/>
      <x:c r="AF278" s="26"/>
      <x:c r="AG278" s="26"/>
      <x:c r="AH278" s="26"/>
      <x:c r="AI278" s="26"/>
      <x:c r="AJ278" s="26"/>
      <x:c r="AK278" s="26"/>
      <x:c r="AL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  <x:c r="AA279" s="26"/>
      <x:c r="AB279" s="26"/>
      <x:c r="AC279" s="26"/>
      <x:c r="AD279" s="26"/>
      <x:c r="AE279" s="26"/>
      <x:c r="AF279" s="26"/>
      <x:c r="AG279" s="26"/>
      <x:c r="AH279" s="26"/>
      <x:c r="AI279" s="26"/>
      <x:c r="AJ279" s="26"/>
      <x:c r="AK279" s="26"/>
      <x:c r="AL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  <x:c r="AA280" s="26"/>
      <x:c r="AB280" s="26"/>
      <x:c r="AC280" s="26"/>
      <x:c r="AD280" s="26"/>
      <x:c r="AE280" s="26"/>
      <x:c r="AF280" s="26"/>
      <x:c r="AG280" s="26"/>
      <x:c r="AH280" s="26"/>
      <x:c r="AI280" s="26"/>
      <x:c r="AJ280" s="26"/>
      <x:c r="AK280" s="26"/>
      <x:c r="AL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  <x:c r="AA281" s="26"/>
      <x:c r="AB281" s="26"/>
      <x:c r="AC281" s="26"/>
      <x:c r="AD281" s="26"/>
      <x:c r="AE281" s="26"/>
      <x:c r="AF281" s="26"/>
      <x:c r="AG281" s="26"/>
      <x:c r="AH281" s="26"/>
      <x:c r="AI281" s="26"/>
      <x:c r="AJ281" s="26"/>
      <x:c r="AK281" s="26"/>
      <x:c r="AL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  <x:c r="AA282" s="26"/>
      <x:c r="AB282" s="26"/>
      <x:c r="AC282" s="26"/>
      <x:c r="AD282" s="26"/>
      <x:c r="AE282" s="26"/>
      <x:c r="AF282" s="26"/>
      <x:c r="AG282" s="26"/>
      <x:c r="AH282" s="26"/>
      <x:c r="AI282" s="26"/>
      <x:c r="AJ282" s="26"/>
      <x:c r="AK282" s="26"/>
      <x:c r="AL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  <x:c r="AA283" s="26"/>
      <x:c r="AB283" s="26"/>
      <x:c r="AC283" s="26"/>
      <x:c r="AD283" s="26"/>
      <x:c r="AE283" s="26"/>
      <x:c r="AF283" s="26"/>
      <x:c r="AG283" s="26"/>
      <x:c r="AH283" s="26"/>
      <x:c r="AI283" s="26"/>
      <x:c r="AJ283" s="26"/>
      <x:c r="AK283" s="26"/>
      <x:c r="AL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  <x:c r="AA284" s="26"/>
      <x:c r="AB284" s="26"/>
      <x:c r="AC284" s="26"/>
      <x:c r="AD284" s="26"/>
      <x:c r="AE284" s="26"/>
      <x:c r="AF284" s="26"/>
      <x:c r="AG284" s="26"/>
      <x:c r="AH284" s="26"/>
      <x:c r="AI284" s="26"/>
      <x:c r="AJ284" s="26"/>
      <x:c r="AK284" s="26"/>
      <x:c r="AL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  <x:c r="AA285" s="26"/>
      <x:c r="AB285" s="26"/>
      <x:c r="AC285" s="26"/>
      <x:c r="AD285" s="26"/>
      <x:c r="AE285" s="26"/>
      <x:c r="AF285" s="26"/>
      <x:c r="AG285" s="26"/>
      <x:c r="AH285" s="26"/>
      <x:c r="AI285" s="26"/>
      <x:c r="AJ285" s="26"/>
      <x:c r="AK285" s="26"/>
      <x:c r="AL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  <x:c r="AA286" s="26"/>
      <x:c r="AB286" s="26"/>
      <x:c r="AC286" s="26"/>
      <x:c r="AD286" s="26"/>
      <x:c r="AE286" s="26"/>
      <x:c r="AF286" s="26"/>
      <x:c r="AG286" s="26"/>
      <x:c r="AH286" s="26"/>
      <x:c r="AI286" s="26"/>
      <x:c r="AJ286" s="26"/>
      <x:c r="AK286" s="26"/>
      <x:c r="AL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  <x:c r="AA287" s="26"/>
      <x:c r="AB287" s="26"/>
      <x:c r="AC287" s="26"/>
      <x:c r="AD287" s="26"/>
      <x:c r="AE287" s="26"/>
      <x:c r="AF287" s="26"/>
      <x:c r="AG287" s="26"/>
      <x:c r="AH287" s="26"/>
      <x:c r="AI287" s="26"/>
      <x:c r="AJ287" s="26"/>
      <x:c r="AK287" s="26"/>
      <x:c r="AL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  <x:c r="AA288" s="26"/>
      <x:c r="AB288" s="26"/>
      <x:c r="AC288" s="26"/>
      <x:c r="AD288" s="26"/>
      <x:c r="AE288" s="26"/>
      <x:c r="AF288" s="26"/>
      <x:c r="AG288" s="26"/>
      <x:c r="AH288" s="26"/>
      <x:c r="AI288" s="26"/>
      <x:c r="AJ288" s="26"/>
      <x:c r="AK288" s="26"/>
      <x:c r="AL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  <x:c r="AA289" s="26"/>
      <x:c r="AB289" s="26"/>
      <x:c r="AC289" s="26"/>
      <x:c r="AD289" s="26"/>
      <x:c r="AE289" s="26"/>
      <x:c r="AF289" s="26"/>
      <x:c r="AG289" s="26"/>
      <x:c r="AH289" s="26"/>
      <x:c r="AI289" s="26"/>
      <x:c r="AJ289" s="26"/>
      <x:c r="AK289" s="26"/>
      <x:c r="AL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  <x:c r="AA290" s="26"/>
      <x:c r="AB290" s="26"/>
      <x:c r="AC290" s="26"/>
      <x:c r="AD290" s="26"/>
      <x:c r="AE290" s="26"/>
      <x:c r="AF290" s="26"/>
      <x:c r="AG290" s="26"/>
      <x:c r="AH290" s="26"/>
      <x:c r="AI290" s="26"/>
      <x:c r="AJ290" s="26"/>
      <x:c r="AK290" s="26"/>
      <x:c r="AL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  <x:c r="AA291" s="26"/>
      <x:c r="AB291" s="26"/>
      <x:c r="AC291" s="26"/>
      <x:c r="AD291" s="26"/>
      <x:c r="AE291" s="26"/>
      <x:c r="AF291" s="26"/>
      <x:c r="AG291" s="26"/>
      <x:c r="AH291" s="26"/>
      <x:c r="AI291" s="26"/>
      <x:c r="AJ291" s="26"/>
      <x:c r="AK291" s="26"/>
      <x:c r="AL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  <x:c r="AA292" s="26"/>
      <x:c r="AB292" s="26"/>
      <x:c r="AC292" s="26"/>
      <x:c r="AD292" s="26"/>
      <x:c r="AE292" s="26"/>
      <x:c r="AF292" s="26"/>
      <x:c r="AG292" s="26"/>
      <x:c r="AH292" s="26"/>
      <x:c r="AI292" s="26"/>
      <x:c r="AJ292" s="26"/>
      <x:c r="AK292" s="26"/>
      <x:c r="AL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  <x:c r="AA293" s="26"/>
      <x:c r="AB293" s="26"/>
      <x:c r="AC293" s="26"/>
      <x:c r="AD293" s="26"/>
      <x:c r="AE293" s="26"/>
      <x:c r="AF293" s="26"/>
      <x:c r="AG293" s="26"/>
      <x:c r="AH293" s="26"/>
      <x:c r="AI293" s="26"/>
      <x:c r="AJ293" s="26"/>
      <x:c r="AK293" s="26"/>
      <x:c r="AL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  <x:c r="AA294" s="26"/>
      <x:c r="AB294" s="26"/>
      <x:c r="AC294" s="26"/>
      <x:c r="AD294" s="26"/>
      <x:c r="AE294" s="26"/>
      <x:c r="AF294" s="26"/>
      <x:c r="AG294" s="26"/>
      <x:c r="AH294" s="26"/>
      <x:c r="AI294" s="26"/>
      <x:c r="AJ294" s="26"/>
      <x:c r="AK294" s="26"/>
      <x:c r="AL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  <x:c r="AA295" s="26"/>
      <x:c r="AB295" s="26"/>
      <x:c r="AC295" s="26"/>
      <x:c r="AD295" s="26"/>
      <x:c r="AE295" s="26"/>
      <x:c r="AF295" s="26"/>
      <x:c r="AG295" s="26"/>
      <x:c r="AH295" s="26"/>
      <x:c r="AI295" s="26"/>
      <x:c r="AJ295" s="26"/>
      <x:c r="AK295" s="26"/>
      <x:c r="AL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  <x:c r="AA296" s="26"/>
      <x:c r="AB296" s="26"/>
      <x:c r="AC296" s="26"/>
      <x:c r="AD296" s="26"/>
      <x:c r="AE296" s="26"/>
      <x:c r="AF296" s="26"/>
      <x:c r="AG296" s="26"/>
      <x:c r="AH296" s="26"/>
      <x:c r="AI296" s="26"/>
      <x:c r="AJ296" s="26"/>
      <x:c r="AK296" s="26"/>
      <x:c r="AL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  <x:c r="AA297" s="26"/>
      <x:c r="AB297" s="26"/>
      <x:c r="AC297" s="26"/>
      <x:c r="AD297" s="26"/>
      <x:c r="AE297" s="26"/>
      <x:c r="AF297" s="26"/>
      <x:c r="AG297" s="26"/>
      <x:c r="AH297" s="26"/>
      <x:c r="AI297" s="26"/>
      <x:c r="AJ297" s="26"/>
      <x:c r="AK297" s="26"/>
      <x:c r="AL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  <x:c r="AA298" s="26"/>
      <x:c r="AB298" s="26"/>
      <x:c r="AC298" s="26"/>
      <x:c r="AD298" s="26"/>
      <x:c r="AE298" s="26"/>
      <x:c r="AF298" s="26"/>
      <x:c r="AG298" s="26"/>
      <x:c r="AH298" s="26"/>
      <x:c r="AI298" s="26"/>
      <x:c r="AJ298" s="26"/>
      <x:c r="AK298" s="26"/>
      <x:c r="AL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  <x:c r="AA299" s="26"/>
      <x:c r="AB299" s="26"/>
      <x:c r="AC299" s="26"/>
      <x:c r="AD299" s="26"/>
      <x:c r="AE299" s="26"/>
      <x:c r="AF299" s="26"/>
      <x:c r="AG299" s="26"/>
      <x:c r="AH299" s="26"/>
      <x:c r="AI299" s="26"/>
      <x:c r="AJ299" s="26"/>
      <x:c r="AK299" s="26"/>
      <x:c r="AL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  <x:c r="AA300" s="26"/>
      <x:c r="AB300" s="26"/>
      <x:c r="AC300" s="26"/>
      <x:c r="AD300" s="26"/>
      <x:c r="AE300" s="26"/>
      <x:c r="AF300" s="26"/>
      <x:c r="AG300" s="26"/>
      <x:c r="AH300" s="26"/>
      <x:c r="AI300" s="26"/>
      <x:c r="AJ300" s="26"/>
      <x:c r="AK300" s="26"/>
      <x:c r="AL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  <x:c r="AA301" s="26"/>
      <x:c r="AB301" s="26"/>
      <x:c r="AC301" s="26"/>
      <x:c r="AD301" s="26"/>
      <x:c r="AE301" s="26"/>
      <x:c r="AF301" s="26"/>
      <x:c r="AG301" s="26"/>
      <x:c r="AH301" s="26"/>
      <x:c r="AI301" s="26"/>
      <x:c r="AJ301" s="26"/>
      <x:c r="AK301" s="26"/>
      <x:c r="AL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  <x:c r="AA302" s="26"/>
      <x:c r="AB302" s="26"/>
      <x:c r="AC302" s="26"/>
      <x:c r="AD302" s="26"/>
      <x:c r="AE302" s="26"/>
      <x:c r="AF302" s="26"/>
      <x:c r="AG302" s="26"/>
      <x:c r="AH302" s="26"/>
      <x:c r="AI302" s="26"/>
      <x:c r="AJ302" s="26"/>
      <x:c r="AK302" s="26"/>
      <x:c r="AL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  <x:c r="AA303" s="26"/>
      <x:c r="AB303" s="26"/>
      <x:c r="AC303" s="26"/>
      <x:c r="AD303" s="26"/>
      <x:c r="AE303" s="26"/>
      <x:c r="AF303" s="26"/>
      <x:c r="AG303" s="26"/>
      <x:c r="AH303" s="26"/>
      <x:c r="AI303" s="26"/>
      <x:c r="AJ303" s="26"/>
      <x:c r="AK303" s="26"/>
      <x:c r="AL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  <x:c r="AA304" s="26"/>
      <x:c r="AB304" s="26"/>
      <x:c r="AC304" s="26"/>
      <x:c r="AD304" s="26"/>
      <x:c r="AE304" s="26"/>
      <x:c r="AF304" s="26"/>
      <x:c r="AG304" s="26"/>
      <x:c r="AH304" s="26"/>
      <x:c r="AI304" s="26"/>
      <x:c r="AJ304" s="26"/>
      <x:c r="AK304" s="26"/>
      <x:c r="AL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  <x:c r="AA305" s="26"/>
      <x:c r="AB305" s="26"/>
      <x:c r="AC305" s="26"/>
      <x:c r="AD305" s="26"/>
      <x:c r="AE305" s="26"/>
      <x:c r="AF305" s="26"/>
      <x:c r="AG305" s="26"/>
      <x:c r="AH305" s="26"/>
      <x:c r="AI305" s="26"/>
      <x:c r="AJ305" s="26"/>
      <x:c r="AK305" s="26"/>
      <x:c r="AL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  <x:c r="AA306" s="26"/>
      <x:c r="AB306" s="26"/>
      <x:c r="AC306" s="26"/>
      <x:c r="AD306" s="26"/>
      <x:c r="AE306" s="26"/>
      <x:c r="AF306" s="26"/>
      <x:c r="AG306" s="26"/>
      <x:c r="AH306" s="26"/>
      <x:c r="AI306" s="26"/>
      <x:c r="AJ306" s="26"/>
      <x:c r="AK306" s="26"/>
      <x:c r="AL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  <x:c r="AA307" s="26"/>
      <x:c r="AB307" s="26"/>
      <x:c r="AC307" s="26"/>
      <x:c r="AD307" s="26"/>
      <x:c r="AE307" s="26"/>
      <x:c r="AF307" s="26"/>
      <x:c r="AG307" s="26"/>
      <x:c r="AH307" s="26"/>
      <x:c r="AI307" s="26"/>
      <x:c r="AJ307" s="26"/>
      <x:c r="AK307" s="26"/>
      <x:c r="AL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  <x:c r="AA308" s="26"/>
      <x:c r="AB308" s="26"/>
      <x:c r="AC308" s="26"/>
      <x:c r="AD308" s="26"/>
      <x:c r="AE308" s="26"/>
      <x:c r="AF308" s="26"/>
      <x:c r="AG308" s="26"/>
      <x:c r="AH308" s="26"/>
      <x:c r="AI308" s="26"/>
      <x:c r="AJ308" s="26"/>
      <x:c r="AK308" s="26"/>
      <x:c r="AL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  <x:c r="AA309" s="26"/>
      <x:c r="AB309" s="26"/>
      <x:c r="AC309" s="26"/>
      <x:c r="AD309" s="26"/>
      <x:c r="AE309" s="26"/>
      <x:c r="AF309" s="26"/>
      <x:c r="AG309" s="26"/>
      <x:c r="AH309" s="26"/>
      <x:c r="AI309" s="26"/>
      <x:c r="AJ309" s="26"/>
      <x:c r="AK309" s="26"/>
      <x:c r="AL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  <x:c r="AA310" s="26"/>
      <x:c r="AB310" s="26"/>
      <x:c r="AC310" s="26"/>
      <x:c r="AD310" s="26"/>
      <x:c r="AE310" s="26"/>
      <x:c r="AF310" s="26"/>
      <x:c r="AG310" s="26"/>
      <x:c r="AH310" s="26"/>
      <x:c r="AI310" s="26"/>
      <x:c r="AJ310" s="26"/>
      <x:c r="AK310" s="26"/>
      <x:c r="AL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  <x:c r="AA311" s="26"/>
      <x:c r="AB311" s="26"/>
      <x:c r="AC311" s="26"/>
      <x:c r="AD311" s="26"/>
      <x:c r="AE311" s="26"/>
      <x:c r="AF311" s="26"/>
      <x:c r="AG311" s="26"/>
      <x:c r="AH311" s="26"/>
      <x:c r="AI311" s="26"/>
      <x:c r="AJ311" s="26"/>
      <x:c r="AK311" s="26"/>
      <x:c r="AL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  <x:c r="AA312" s="26"/>
      <x:c r="AB312" s="26"/>
      <x:c r="AC312" s="26"/>
      <x:c r="AD312" s="26"/>
      <x:c r="AE312" s="26"/>
      <x:c r="AF312" s="26"/>
      <x:c r="AG312" s="26"/>
      <x:c r="AH312" s="26"/>
      <x:c r="AI312" s="26"/>
      <x:c r="AJ312" s="26"/>
      <x:c r="AK312" s="26"/>
      <x:c r="AL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  <x:c r="AA313" s="26"/>
      <x:c r="AB313" s="26"/>
      <x:c r="AC313" s="26"/>
      <x:c r="AD313" s="26"/>
      <x:c r="AE313" s="26"/>
      <x:c r="AF313" s="26"/>
      <x:c r="AG313" s="26"/>
      <x:c r="AH313" s="26"/>
      <x:c r="AI313" s="26"/>
      <x:c r="AJ313" s="26"/>
      <x:c r="AK313" s="26"/>
      <x:c r="AL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  <x:c r="AA314" s="26"/>
      <x:c r="AB314" s="26"/>
      <x:c r="AC314" s="26"/>
      <x:c r="AD314" s="26"/>
      <x:c r="AE314" s="26"/>
      <x:c r="AF314" s="26"/>
      <x:c r="AG314" s="26"/>
      <x:c r="AH314" s="26"/>
      <x:c r="AI314" s="26"/>
      <x:c r="AJ314" s="26"/>
      <x:c r="AK314" s="26"/>
      <x:c r="AL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  <x:c r="AA315" s="26"/>
      <x:c r="AB315" s="26"/>
      <x:c r="AC315" s="26"/>
      <x:c r="AD315" s="26"/>
      <x:c r="AE315" s="26"/>
      <x:c r="AF315" s="26"/>
      <x:c r="AG315" s="26"/>
      <x:c r="AH315" s="26"/>
      <x:c r="AI315" s="26"/>
      <x:c r="AJ315" s="26"/>
      <x:c r="AK315" s="26"/>
      <x:c r="AL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  <x:c r="AA316" s="26"/>
      <x:c r="AB316" s="26"/>
      <x:c r="AC316" s="26"/>
      <x:c r="AD316" s="26"/>
      <x:c r="AE316" s="26"/>
      <x:c r="AF316" s="26"/>
      <x:c r="AG316" s="26"/>
      <x:c r="AH316" s="26"/>
      <x:c r="AI316" s="26"/>
      <x:c r="AJ316" s="26"/>
      <x:c r="AK316" s="26"/>
      <x:c r="AL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  <x:c r="AA317" s="26"/>
      <x:c r="AB317" s="26"/>
      <x:c r="AC317" s="26"/>
      <x:c r="AD317" s="26"/>
      <x:c r="AE317" s="26"/>
      <x:c r="AF317" s="26"/>
      <x:c r="AG317" s="26"/>
      <x:c r="AH317" s="26"/>
      <x:c r="AI317" s="26"/>
      <x:c r="AJ317" s="26"/>
      <x:c r="AK317" s="26"/>
      <x:c r="AL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  <x:c r="AA318" s="26"/>
      <x:c r="AB318" s="26"/>
      <x:c r="AC318" s="26"/>
      <x:c r="AD318" s="26"/>
      <x:c r="AE318" s="26"/>
      <x:c r="AF318" s="26"/>
      <x:c r="AG318" s="26"/>
      <x:c r="AH318" s="26"/>
      <x:c r="AI318" s="26"/>
      <x:c r="AJ318" s="26"/>
      <x:c r="AK318" s="26"/>
      <x:c r="AL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  <x:c r="AA319" s="26"/>
      <x:c r="AB319" s="26"/>
      <x:c r="AC319" s="26"/>
      <x:c r="AD319" s="26"/>
      <x:c r="AE319" s="26"/>
      <x:c r="AF319" s="26"/>
      <x:c r="AG319" s="26"/>
      <x:c r="AH319" s="26"/>
      <x:c r="AI319" s="26"/>
      <x:c r="AJ319" s="26"/>
      <x:c r="AK319" s="26"/>
      <x:c r="AL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  <x:c r="AA320" s="26"/>
      <x:c r="AB320" s="26"/>
      <x:c r="AC320" s="26"/>
      <x:c r="AD320" s="26"/>
      <x:c r="AE320" s="26"/>
      <x:c r="AF320" s="26"/>
      <x:c r="AG320" s="26"/>
      <x:c r="AH320" s="26"/>
      <x:c r="AI320" s="26"/>
      <x:c r="AJ320" s="26"/>
      <x:c r="AK320" s="26"/>
      <x:c r="AL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  <x:c r="AA321" s="26"/>
      <x:c r="AB321" s="26"/>
      <x:c r="AC321" s="26"/>
      <x:c r="AD321" s="26"/>
      <x:c r="AE321" s="26"/>
      <x:c r="AF321" s="26"/>
      <x:c r="AG321" s="26"/>
      <x:c r="AH321" s="26"/>
      <x:c r="AI321" s="26"/>
      <x:c r="AJ321" s="26"/>
      <x:c r="AK321" s="26"/>
      <x:c r="AL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  <x:c r="AA322" s="26"/>
      <x:c r="AB322" s="26"/>
      <x:c r="AC322" s="26"/>
      <x:c r="AD322" s="26"/>
      <x:c r="AE322" s="26"/>
      <x:c r="AF322" s="26"/>
      <x:c r="AG322" s="26"/>
      <x:c r="AH322" s="26"/>
      <x:c r="AI322" s="26"/>
      <x:c r="AJ322" s="26"/>
      <x:c r="AK322" s="26"/>
      <x:c r="AL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  <x:c r="AA323" s="26"/>
      <x:c r="AB323" s="26"/>
      <x:c r="AC323" s="26"/>
      <x:c r="AD323" s="26"/>
      <x:c r="AE323" s="26"/>
      <x:c r="AF323" s="26"/>
      <x:c r="AG323" s="26"/>
      <x:c r="AH323" s="26"/>
      <x:c r="AI323" s="26"/>
      <x:c r="AJ323" s="26"/>
      <x:c r="AK323" s="26"/>
      <x:c r="AL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  <x:c r="AA324" s="26"/>
      <x:c r="AB324" s="26"/>
      <x:c r="AC324" s="26"/>
      <x:c r="AD324" s="26"/>
      <x:c r="AE324" s="26"/>
      <x:c r="AF324" s="26"/>
      <x:c r="AG324" s="26"/>
      <x:c r="AH324" s="26"/>
      <x:c r="AI324" s="26"/>
      <x:c r="AJ324" s="26"/>
      <x:c r="AK324" s="26"/>
      <x:c r="AL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  <x:c r="AA325" s="26"/>
      <x:c r="AB325" s="26"/>
      <x:c r="AC325" s="26"/>
      <x:c r="AD325" s="26"/>
      <x:c r="AE325" s="26"/>
      <x:c r="AF325" s="26"/>
      <x:c r="AG325" s="26"/>
      <x:c r="AH325" s="26"/>
      <x:c r="AI325" s="26"/>
      <x:c r="AJ325" s="26"/>
      <x:c r="AK325" s="26"/>
      <x:c r="AL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  <x:c r="AA326" s="26"/>
      <x:c r="AB326" s="26"/>
      <x:c r="AC326" s="26"/>
      <x:c r="AD326" s="26"/>
      <x:c r="AE326" s="26"/>
      <x:c r="AF326" s="26"/>
      <x:c r="AG326" s="26"/>
      <x:c r="AH326" s="26"/>
      <x:c r="AI326" s="26"/>
      <x:c r="AJ326" s="26"/>
      <x:c r="AK326" s="26"/>
      <x:c r="AL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  <x:c r="AA327" s="26"/>
      <x:c r="AB327" s="26"/>
      <x:c r="AC327" s="26"/>
      <x:c r="AD327" s="26"/>
      <x:c r="AE327" s="26"/>
      <x:c r="AF327" s="26"/>
      <x:c r="AG327" s="26"/>
      <x:c r="AH327" s="26"/>
      <x:c r="AI327" s="26"/>
      <x:c r="AJ327" s="26"/>
      <x:c r="AK327" s="26"/>
      <x:c r="AL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  <x:c r="AA328" s="26"/>
      <x:c r="AB328" s="26"/>
      <x:c r="AC328" s="26"/>
      <x:c r="AD328" s="26"/>
      <x:c r="AE328" s="26"/>
      <x:c r="AF328" s="26"/>
      <x:c r="AG328" s="26"/>
      <x:c r="AH328" s="26"/>
      <x:c r="AI328" s="26"/>
      <x:c r="AJ328" s="26"/>
      <x:c r="AK328" s="26"/>
      <x:c r="AL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  <x:c r="AA329" s="26"/>
      <x:c r="AB329" s="26"/>
      <x:c r="AC329" s="26"/>
      <x:c r="AD329" s="26"/>
      <x:c r="AE329" s="26"/>
      <x:c r="AF329" s="26"/>
      <x:c r="AG329" s="26"/>
      <x:c r="AH329" s="26"/>
      <x:c r="AI329" s="26"/>
      <x:c r="AJ329" s="26"/>
      <x:c r="AK329" s="26"/>
      <x:c r="AL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  <x:c r="AA330" s="26"/>
      <x:c r="AB330" s="26"/>
      <x:c r="AC330" s="26"/>
      <x:c r="AD330" s="26"/>
      <x:c r="AE330" s="26"/>
      <x:c r="AF330" s="26"/>
      <x:c r="AG330" s="26"/>
      <x:c r="AH330" s="26"/>
      <x:c r="AI330" s="26"/>
      <x:c r="AJ330" s="26"/>
      <x:c r="AK330" s="26"/>
      <x:c r="AL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  <x:c r="AA331" s="26"/>
      <x:c r="AB331" s="26"/>
      <x:c r="AC331" s="26"/>
      <x:c r="AD331" s="26"/>
      <x:c r="AE331" s="26"/>
      <x:c r="AF331" s="26"/>
      <x:c r="AG331" s="26"/>
      <x:c r="AH331" s="26"/>
      <x:c r="AI331" s="26"/>
      <x:c r="AJ331" s="26"/>
      <x:c r="AK331" s="26"/>
      <x:c r="AL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  <x:c r="AA332" s="26"/>
      <x:c r="AB332" s="26"/>
      <x:c r="AC332" s="26"/>
      <x:c r="AD332" s="26"/>
      <x:c r="AE332" s="26"/>
      <x:c r="AF332" s="26"/>
      <x:c r="AG332" s="26"/>
      <x:c r="AH332" s="26"/>
      <x:c r="AI332" s="26"/>
      <x:c r="AJ332" s="26"/>
      <x:c r="AK332" s="26"/>
      <x:c r="AL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  <x:c r="AA333" s="26"/>
      <x:c r="AB333" s="26"/>
      <x:c r="AC333" s="26"/>
      <x:c r="AD333" s="26"/>
      <x:c r="AE333" s="26"/>
      <x:c r="AF333" s="26"/>
      <x:c r="AG333" s="26"/>
      <x:c r="AH333" s="26"/>
      <x:c r="AI333" s="26"/>
      <x:c r="AJ333" s="26"/>
      <x:c r="AK333" s="26"/>
      <x:c r="AL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  <x:c r="AA334" s="26"/>
      <x:c r="AB334" s="26"/>
      <x:c r="AC334" s="26"/>
      <x:c r="AD334" s="26"/>
      <x:c r="AE334" s="26"/>
      <x:c r="AF334" s="26"/>
      <x:c r="AG334" s="26"/>
      <x:c r="AH334" s="26"/>
      <x:c r="AI334" s="26"/>
      <x:c r="AJ334" s="26"/>
      <x:c r="AK334" s="26"/>
      <x:c r="AL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  <x:c r="AA335" s="26"/>
      <x:c r="AB335" s="26"/>
      <x:c r="AC335" s="26"/>
      <x:c r="AD335" s="26"/>
      <x:c r="AE335" s="26"/>
      <x:c r="AF335" s="26"/>
      <x:c r="AG335" s="26"/>
      <x:c r="AH335" s="26"/>
      <x:c r="AI335" s="26"/>
      <x:c r="AJ335" s="26"/>
      <x:c r="AK335" s="26"/>
      <x:c r="AL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  <x:c r="AA336" s="26"/>
      <x:c r="AB336" s="26"/>
      <x:c r="AC336" s="26"/>
      <x:c r="AD336" s="26"/>
      <x:c r="AE336" s="26"/>
      <x:c r="AF336" s="26"/>
      <x:c r="AG336" s="26"/>
      <x:c r="AH336" s="26"/>
      <x:c r="AI336" s="26"/>
      <x:c r="AJ336" s="26"/>
      <x:c r="AK336" s="26"/>
      <x:c r="AL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  <x:c r="AA337" s="26"/>
      <x:c r="AB337" s="26"/>
      <x:c r="AC337" s="26"/>
      <x:c r="AD337" s="26"/>
      <x:c r="AE337" s="26"/>
      <x:c r="AF337" s="26"/>
      <x:c r="AG337" s="26"/>
      <x:c r="AH337" s="26"/>
      <x:c r="AI337" s="26"/>
      <x:c r="AJ337" s="26"/>
      <x:c r="AK337" s="26"/>
      <x:c r="AL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  <x:c r="AA338" s="26"/>
      <x:c r="AB338" s="26"/>
      <x:c r="AC338" s="26"/>
      <x:c r="AD338" s="26"/>
      <x:c r="AE338" s="26"/>
      <x:c r="AF338" s="26"/>
      <x:c r="AG338" s="26"/>
      <x:c r="AH338" s="26"/>
      <x:c r="AI338" s="26"/>
      <x:c r="AJ338" s="26"/>
      <x:c r="AK338" s="26"/>
      <x:c r="AL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  <x:c r="AA339" s="26"/>
      <x:c r="AB339" s="26"/>
      <x:c r="AC339" s="26"/>
      <x:c r="AD339" s="26"/>
      <x:c r="AE339" s="26"/>
      <x:c r="AF339" s="26"/>
      <x:c r="AG339" s="26"/>
      <x:c r="AH339" s="26"/>
      <x:c r="AI339" s="26"/>
      <x:c r="AJ339" s="26"/>
      <x:c r="AK339" s="26"/>
      <x:c r="AL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  <x:c r="AA340" s="26"/>
      <x:c r="AB340" s="26"/>
      <x:c r="AC340" s="26"/>
      <x:c r="AD340" s="26"/>
      <x:c r="AE340" s="26"/>
      <x:c r="AF340" s="26"/>
      <x:c r="AG340" s="26"/>
      <x:c r="AH340" s="26"/>
      <x:c r="AI340" s="26"/>
      <x:c r="AJ340" s="26"/>
      <x:c r="AK340" s="26"/>
      <x:c r="AL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  <x:c r="AA341" s="26"/>
      <x:c r="AB341" s="26"/>
      <x:c r="AC341" s="26"/>
      <x:c r="AD341" s="26"/>
      <x:c r="AE341" s="26"/>
      <x:c r="AF341" s="26"/>
      <x:c r="AG341" s="26"/>
      <x:c r="AH341" s="26"/>
      <x:c r="AI341" s="26"/>
      <x:c r="AJ341" s="26"/>
      <x:c r="AK341" s="26"/>
      <x:c r="AL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  <x:c r="AA342" s="26"/>
      <x:c r="AB342" s="26"/>
      <x:c r="AC342" s="26"/>
      <x:c r="AD342" s="26"/>
      <x:c r="AE342" s="26"/>
      <x:c r="AF342" s="26"/>
      <x:c r="AG342" s="26"/>
      <x:c r="AH342" s="26"/>
      <x:c r="AI342" s="26"/>
      <x:c r="AJ342" s="26"/>
      <x:c r="AK342" s="26"/>
      <x:c r="AL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  <x:c r="AA343" s="26"/>
      <x:c r="AB343" s="26"/>
      <x:c r="AC343" s="26"/>
      <x:c r="AD343" s="26"/>
      <x:c r="AE343" s="26"/>
      <x:c r="AF343" s="26"/>
      <x:c r="AG343" s="26"/>
      <x:c r="AH343" s="26"/>
      <x:c r="AI343" s="26"/>
      <x:c r="AJ343" s="26"/>
      <x:c r="AK343" s="26"/>
      <x:c r="AL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  <x:c r="AA344" s="26"/>
      <x:c r="AB344" s="26"/>
      <x:c r="AC344" s="26"/>
      <x:c r="AD344" s="26"/>
      <x:c r="AE344" s="26"/>
      <x:c r="AF344" s="26"/>
      <x:c r="AG344" s="26"/>
      <x:c r="AH344" s="26"/>
      <x:c r="AI344" s="26"/>
      <x:c r="AJ344" s="26"/>
      <x:c r="AK344" s="26"/>
      <x:c r="AL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  <x:c r="AA345" s="26"/>
      <x:c r="AB345" s="26"/>
      <x:c r="AC345" s="26"/>
      <x:c r="AD345" s="26"/>
      <x:c r="AE345" s="26"/>
      <x:c r="AF345" s="26"/>
      <x:c r="AG345" s="26"/>
      <x:c r="AH345" s="26"/>
      <x:c r="AI345" s="26"/>
      <x:c r="AJ345" s="26"/>
      <x:c r="AK345" s="26"/>
      <x:c r="AL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  <x:c r="AA346" s="26"/>
      <x:c r="AB346" s="26"/>
      <x:c r="AC346" s="26"/>
      <x:c r="AD346" s="26"/>
      <x:c r="AE346" s="26"/>
      <x:c r="AF346" s="26"/>
      <x:c r="AG346" s="26"/>
      <x:c r="AH346" s="26"/>
      <x:c r="AI346" s="26"/>
      <x:c r="AJ346" s="26"/>
      <x:c r="AK346" s="26"/>
      <x:c r="AL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  <x:c r="AA347" s="26"/>
      <x:c r="AB347" s="26"/>
      <x:c r="AC347" s="26"/>
      <x:c r="AD347" s="26"/>
      <x:c r="AE347" s="26"/>
      <x:c r="AF347" s="26"/>
      <x:c r="AG347" s="26"/>
      <x:c r="AH347" s="26"/>
      <x:c r="AI347" s="26"/>
      <x:c r="AJ347" s="26"/>
      <x:c r="AK347" s="26"/>
      <x:c r="AL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  <x:c r="AA348" s="26"/>
      <x:c r="AB348" s="26"/>
      <x:c r="AC348" s="26"/>
      <x:c r="AD348" s="26"/>
      <x:c r="AE348" s="26"/>
      <x:c r="AF348" s="26"/>
      <x:c r="AG348" s="26"/>
      <x:c r="AH348" s="26"/>
      <x:c r="AI348" s="26"/>
      <x:c r="AJ348" s="26"/>
      <x:c r="AK348" s="26"/>
      <x:c r="AL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  <x:c r="AA349" s="26"/>
      <x:c r="AB349" s="26"/>
      <x:c r="AC349" s="26"/>
      <x:c r="AD349" s="26"/>
      <x:c r="AE349" s="26"/>
      <x:c r="AF349" s="26"/>
      <x:c r="AG349" s="26"/>
      <x:c r="AH349" s="26"/>
      <x:c r="AI349" s="26"/>
      <x:c r="AJ349" s="26"/>
      <x:c r="AK349" s="26"/>
      <x:c r="AL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  <x:c r="AA350" s="26"/>
      <x:c r="AB350" s="26"/>
      <x:c r="AC350" s="26"/>
      <x:c r="AD350" s="26"/>
      <x:c r="AE350" s="26"/>
      <x:c r="AF350" s="26"/>
      <x:c r="AG350" s="26"/>
      <x:c r="AH350" s="26"/>
      <x:c r="AI350" s="26"/>
      <x:c r="AJ350" s="26"/>
      <x:c r="AK350" s="26"/>
      <x:c r="AL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  <x:c r="AA351" s="26"/>
      <x:c r="AB351" s="26"/>
      <x:c r="AC351" s="26"/>
      <x:c r="AD351" s="26"/>
      <x:c r="AE351" s="26"/>
      <x:c r="AF351" s="26"/>
      <x:c r="AG351" s="26"/>
      <x:c r="AH351" s="26"/>
      <x:c r="AI351" s="26"/>
      <x:c r="AJ351" s="26"/>
      <x:c r="AK351" s="26"/>
      <x:c r="AL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  <x:c r="AA352" s="26"/>
      <x:c r="AB352" s="26"/>
      <x:c r="AC352" s="26"/>
      <x:c r="AD352" s="26"/>
      <x:c r="AE352" s="26"/>
      <x:c r="AF352" s="26"/>
      <x:c r="AG352" s="26"/>
      <x:c r="AH352" s="26"/>
      <x:c r="AI352" s="26"/>
      <x:c r="AJ352" s="26"/>
      <x:c r="AK352" s="26"/>
      <x:c r="AL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  <x:c r="AA353" s="26"/>
      <x:c r="AB353" s="26"/>
      <x:c r="AC353" s="26"/>
      <x:c r="AD353" s="26"/>
      <x:c r="AE353" s="26"/>
      <x:c r="AF353" s="26"/>
      <x:c r="AG353" s="26"/>
      <x:c r="AH353" s="26"/>
      <x:c r="AI353" s="26"/>
      <x:c r="AJ353" s="26"/>
      <x:c r="AK353" s="26"/>
      <x:c r="AL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  <x:c r="AA354" s="26"/>
      <x:c r="AB354" s="26"/>
      <x:c r="AC354" s="26"/>
      <x:c r="AD354" s="26"/>
      <x:c r="AE354" s="26"/>
      <x:c r="AF354" s="26"/>
      <x:c r="AG354" s="26"/>
      <x:c r="AH354" s="26"/>
      <x:c r="AI354" s="26"/>
      <x:c r="AJ354" s="26"/>
      <x:c r="AK354" s="26"/>
      <x:c r="AL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  <x:c r="AA355" s="26"/>
      <x:c r="AB355" s="26"/>
      <x:c r="AC355" s="26"/>
      <x:c r="AD355" s="26"/>
      <x:c r="AE355" s="26"/>
      <x:c r="AF355" s="26"/>
      <x:c r="AG355" s="26"/>
      <x:c r="AH355" s="26"/>
      <x:c r="AI355" s="26"/>
      <x:c r="AJ355" s="26"/>
      <x:c r="AK355" s="26"/>
      <x:c r="AL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  <x:c r="AA356" s="26"/>
      <x:c r="AB356" s="26"/>
      <x:c r="AC356" s="26"/>
      <x:c r="AD356" s="26"/>
      <x:c r="AE356" s="26"/>
      <x:c r="AF356" s="26"/>
      <x:c r="AG356" s="26"/>
      <x:c r="AH356" s="26"/>
      <x:c r="AI356" s="26"/>
      <x:c r="AJ356" s="26"/>
      <x:c r="AK356" s="26"/>
      <x:c r="AL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  <x:c r="AA357" s="26"/>
      <x:c r="AB357" s="26"/>
      <x:c r="AC357" s="26"/>
      <x:c r="AD357" s="26"/>
      <x:c r="AE357" s="26"/>
      <x:c r="AF357" s="26"/>
      <x:c r="AG357" s="26"/>
      <x:c r="AH357" s="26"/>
      <x:c r="AI357" s="26"/>
      <x:c r="AJ357" s="26"/>
      <x:c r="AK357" s="26"/>
      <x:c r="AL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  <x:c r="AA358" s="26"/>
      <x:c r="AB358" s="26"/>
      <x:c r="AC358" s="26"/>
      <x:c r="AD358" s="26"/>
      <x:c r="AE358" s="26"/>
      <x:c r="AF358" s="26"/>
      <x:c r="AG358" s="26"/>
      <x:c r="AH358" s="26"/>
      <x:c r="AI358" s="26"/>
      <x:c r="AJ358" s="26"/>
      <x:c r="AK358" s="26"/>
      <x:c r="AL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  <x:c r="AA359" s="26"/>
      <x:c r="AB359" s="26"/>
      <x:c r="AC359" s="26"/>
      <x:c r="AD359" s="26"/>
      <x:c r="AE359" s="26"/>
      <x:c r="AF359" s="26"/>
      <x:c r="AG359" s="26"/>
      <x:c r="AH359" s="26"/>
      <x:c r="AI359" s="26"/>
      <x:c r="AJ359" s="26"/>
      <x:c r="AK359" s="26"/>
      <x:c r="AL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  <x:c r="AA360" s="26"/>
      <x:c r="AB360" s="26"/>
      <x:c r="AC360" s="26"/>
      <x:c r="AD360" s="26"/>
      <x:c r="AE360" s="26"/>
      <x:c r="AF360" s="26"/>
      <x:c r="AG360" s="26"/>
      <x:c r="AH360" s="26"/>
      <x:c r="AI360" s="26"/>
      <x:c r="AJ360" s="26"/>
      <x:c r="AK360" s="26"/>
      <x:c r="AL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  <x:c r="AA361" s="26"/>
      <x:c r="AB361" s="26"/>
      <x:c r="AC361" s="26"/>
      <x:c r="AD361" s="26"/>
      <x:c r="AE361" s="26"/>
      <x:c r="AF361" s="26"/>
      <x:c r="AG361" s="26"/>
      <x:c r="AH361" s="26"/>
      <x:c r="AI361" s="26"/>
      <x:c r="AJ361" s="26"/>
      <x:c r="AK361" s="26"/>
      <x:c r="AL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  <x:c r="AA362" s="26"/>
      <x:c r="AB362" s="26"/>
      <x:c r="AC362" s="26"/>
      <x:c r="AD362" s="26"/>
      <x:c r="AE362" s="26"/>
      <x:c r="AF362" s="26"/>
      <x:c r="AG362" s="26"/>
      <x:c r="AH362" s="26"/>
      <x:c r="AI362" s="26"/>
      <x:c r="AJ362" s="26"/>
      <x:c r="AK362" s="26"/>
      <x:c r="AL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  <x:c r="AA363" s="26"/>
      <x:c r="AB363" s="26"/>
      <x:c r="AC363" s="26"/>
      <x:c r="AD363" s="26"/>
      <x:c r="AE363" s="26"/>
      <x:c r="AF363" s="26"/>
      <x:c r="AG363" s="26"/>
      <x:c r="AH363" s="26"/>
      <x:c r="AI363" s="26"/>
      <x:c r="AJ363" s="26"/>
      <x:c r="AK363" s="26"/>
      <x:c r="AL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  <x:c r="AA364" s="26"/>
      <x:c r="AB364" s="26"/>
      <x:c r="AC364" s="26"/>
      <x:c r="AD364" s="26"/>
      <x:c r="AE364" s="26"/>
      <x:c r="AF364" s="26"/>
      <x:c r="AG364" s="26"/>
      <x:c r="AH364" s="26"/>
      <x:c r="AI364" s="26"/>
      <x:c r="AJ364" s="26"/>
      <x:c r="AK364" s="26"/>
      <x:c r="AL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  <x:c r="AA365" s="26"/>
      <x:c r="AB365" s="26"/>
      <x:c r="AC365" s="26"/>
      <x:c r="AD365" s="26"/>
      <x:c r="AE365" s="26"/>
      <x:c r="AF365" s="26"/>
      <x:c r="AG365" s="26"/>
      <x:c r="AH365" s="26"/>
      <x:c r="AI365" s="26"/>
      <x:c r="AJ365" s="26"/>
      <x:c r="AK365" s="26"/>
      <x:c r="AL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  <x:c r="AA366" s="26"/>
      <x:c r="AB366" s="26"/>
      <x:c r="AC366" s="26"/>
      <x:c r="AD366" s="26"/>
      <x:c r="AE366" s="26"/>
      <x:c r="AF366" s="26"/>
      <x:c r="AG366" s="26"/>
      <x:c r="AH366" s="26"/>
      <x:c r="AI366" s="26"/>
      <x:c r="AJ366" s="26"/>
      <x:c r="AK366" s="26"/>
      <x:c r="AL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  <x:c r="AA367" s="26"/>
      <x:c r="AB367" s="26"/>
      <x:c r="AC367" s="26"/>
      <x:c r="AD367" s="26"/>
      <x:c r="AE367" s="26"/>
      <x:c r="AF367" s="26"/>
      <x:c r="AG367" s="26"/>
      <x:c r="AH367" s="26"/>
      <x:c r="AI367" s="26"/>
      <x:c r="AJ367" s="26"/>
      <x:c r="AK367" s="26"/>
      <x:c r="AL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  <x:c r="AA368" s="26"/>
      <x:c r="AB368" s="26"/>
      <x:c r="AC368" s="26"/>
      <x:c r="AD368" s="26"/>
      <x:c r="AE368" s="26"/>
      <x:c r="AF368" s="26"/>
      <x:c r="AG368" s="26"/>
      <x:c r="AH368" s="26"/>
      <x:c r="AI368" s="26"/>
      <x:c r="AJ368" s="26"/>
      <x:c r="AK368" s="26"/>
      <x:c r="AL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  <x:c r="AA369" s="26"/>
      <x:c r="AB369" s="26"/>
      <x:c r="AC369" s="26"/>
      <x:c r="AD369" s="26"/>
      <x:c r="AE369" s="26"/>
      <x:c r="AF369" s="26"/>
      <x:c r="AG369" s="26"/>
      <x:c r="AH369" s="26"/>
      <x:c r="AI369" s="26"/>
      <x:c r="AJ369" s="26"/>
      <x:c r="AK369" s="26"/>
      <x:c r="AL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  <x:c r="AA370" s="26"/>
      <x:c r="AB370" s="26"/>
      <x:c r="AC370" s="26"/>
      <x:c r="AD370" s="26"/>
      <x:c r="AE370" s="26"/>
      <x:c r="AF370" s="26"/>
      <x:c r="AG370" s="26"/>
      <x:c r="AH370" s="26"/>
      <x:c r="AI370" s="26"/>
      <x:c r="AJ370" s="26"/>
      <x:c r="AK370" s="26"/>
      <x:c r="AL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  <x:c r="AA371" s="26"/>
      <x:c r="AB371" s="26"/>
      <x:c r="AC371" s="26"/>
      <x:c r="AD371" s="26"/>
      <x:c r="AE371" s="26"/>
      <x:c r="AF371" s="26"/>
      <x:c r="AG371" s="26"/>
      <x:c r="AH371" s="26"/>
      <x:c r="AI371" s="26"/>
      <x:c r="AJ371" s="26"/>
      <x:c r="AK371" s="26"/>
      <x:c r="AL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  <x:c r="AA372" s="26"/>
      <x:c r="AB372" s="26"/>
      <x:c r="AC372" s="26"/>
      <x:c r="AD372" s="26"/>
      <x:c r="AE372" s="26"/>
      <x:c r="AF372" s="26"/>
      <x:c r="AG372" s="26"/>
      <x:c r="AH372" s="26"/>
      <x:c r="AI372" s="26"/>
      <x:c r="AJ372" s="26"/>
      <x:c r="AK372" s="26"/>
      <x:c r="AL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  <x:c r="AA373" s="26"/>
      <x:c r="AB373" s="26"/>
      <x:c r="AC373" s="26"/>
      <x:c r="AD373" s="26"/>
      <x:c r="AE373" s="26"/>
      <x:c r="AF373" s="26"/>
      <x:c r="AG373" s="26"/>
      <x:c r="AH373" s="26"/>
      <x:c r="AI373" s="26"/>
      <x:c r="AJ373" s="26"/>
      <x:c r="AK373" s="26"/>
      <x:c r="AL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  <x:c r="AA374" s="26"/>
      <x:c r="AB374" s="26"/>
      <x:c r="AC374" s="26"/>
      <x:c r="AD374" s="26"/>
      <x:c r="AE374" s="26"/>
      <x:c r="AF374" s="26"/>
      <x:c r="AG374" s="26"/>
      <x:c r="AH374" s="26"/>
      <x:c r="AI374" s="26"/>
      <x:c r="AJ374" s="26"/>
      <x:c r="AK374" s="26"/>
      <x:c r="AL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  <x:c r="AA375" s="26"/>
      <x:c r="AB375" s="26"/>
      <x:c r="AC375" s="26"/>
      <x:c r="AD375" s="26"/>
      <x:c r="AE375" s="26"/>
      <x:c r="AF375" s="26"/>
      <x:c r="AG375" s="26"/>
      <x:c r="AH375" s="26"/>
      <x:c r="AI375" s="26"/>
      <x:c r="AJ375" s="26"/>
      <x:c r="AK375" s="26"/>
      <x:c r="AL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  <x:c r="AA376" s="26"/>
      <x:c r="AB376" s="26"/>
      <x:c r="AC376" s="26"/>
      <x:c r="AD376" s="26"/>
      <x:c r="AE376" s="26"/>
      <x:c r="AF376" s="26"/>
      <x:c r="AG376" s="26"/>
      <x:c r="AH376" s="26"/>
      <x:c r="AI376" s="26"/>
      <x:c r="AJ376" s="26"/>
      <x:c r="AK376" s="26"/>
      <x:c r="AL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  <x:c r="AA377" s="26"/>
      <x:c r="AB377" s="26"/>
      <x:c r="AC377" s="26"/>
      <x:c r="AD377" s="26"/>
      <x:c r="AE377" s="26"/>
      <x:c r="AF377" s="26"/>
      <x:c r="AG377" s="26"/>
      <x:c r="AH377" s="26"/>
      <x:c r="AI377" s="26"/>
      <x:c r="AJ377" s="26"/>
      <x:c r="AK377" s="26"/>
      <x:c r="AL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  <x:c r="AA378" s="26"/>
      <x:c r="AB378" s="26"/>
      <x:c r="AC378" s="26"/>
      <x:c r="AD378" s="26"/>
      <x:c r="AE378" s="26"/>
      <x:c r="AF378" s="26"/>
      <x:c r="AG378" s="26"/>
      <x:c r="AH378" s="26"/>
      <x:c r="AI378" s="26"/>
      <x:c r="AJ378" s="26"/>
      <x:c r="AK378" s="26"/>
      <x:c r="AL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  <x:c r="AA379" s="26"/>
      <x:c r="AB379" s="26"/>
      <x:c r="AC379" s="26"/>
      <x:c r="AD379" s="26"/>
      <x:c r="AE379" s="26"/>
      <x:c r="AF379" s="26"/>
      <x:c r="AG379" s="26"/>
      <x:c r="AH379" s="26"/>
      <x:c r="AI379" s="26"/>
      <x:c r="AJ379" s="26"/>
      <x:c r="AK379" s="26"/>
      <x:c r="AL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  <x:c r="AA380" s="26"/>
      <x:c r="AB380" s="26"/>
      <x:c r="AC380" s="26"/>
      <x:c r="AD380" s="26"/>
      <x:c r="AE380" s="26"/>
      <x:c r="AF380" s="26"/>
      <x:c r="AG380" s="26"/>
      <x:c r="AH380" s="26"/>
      <x:c r="AI380" s="26"/>
      <x:c r="AJ380" s="26"/>
      <x:c r="AK380" s="26"/>
      <x:c r="AL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  <x:c r="AA381" s="26"/>
      <x:c r="AB381" s="26"/>
      <x:c r="AC381" s="26"/>
      <x:c r="AD381" s="26"/>
      <x:c r="AE381" s="26"/>
      <x:c r="AF381" s="26"/>
      <x:c r="AG381" s="26"/>
      <x:c r="AH381" s="26"/>
      <x:c r="AI381" s="26"/>
      <x:c r="AJ381" s="26"/>
      <x:c r="AK381" s="26"/>
      <x:c r="AL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  <x:c r="AA382" s="26"/>
      <x:c r="AB382" s="26"/>
      <x:c r="AC382" s="26"/>
      <x:c r="AD382" s="26"/>
      <x:c r="AE382" s="26"/>
      <x:c r="AF382" s="26"/>
      <x:c r="AG382" s="26"/>
      <x:c r="AH382" s="26"/>
      <x:c r="AI382" s="26"/>
      <x:c r="AJ382" s="26"/>
      <x:c r="AK382" s="26"/>
      <x:c r="AL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  <x:c r="AA383" s="26"/>
      <x:c r="AB383" s="26"/>
      <x:c r="AC383" s="26"/>
      <x:c r="AD383" s="26"/>
      <x:c r="AE383" s="26"/>
      <x:c r="AF383" s="26"/>
      <x:c r="AG383" s="26"/>
      <x:c r="AH383" s="26"/>
      <x:c r="AI383" s="26"/>
      <x:c r="AJ383" s="26"/>
      <x:c r="AK383" s="26"/>
      <x:c r="AL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  <x:c r="AA384" s="26"/>
      <x:c r="AB384" s="26"/>
      <x:c r="AC384" s="26"/>
      <x:c r="AD384" s="26"/>
      <x:c r="AE384" s="26"/>
      <x:c r="AF384" s="26"/>
      <x:c r="AG384" s="26"/>
      <x:c r="AH384" s="26"/>
      <x:c r="AI384" s="26"/>
      <x:c r="AJ384" s="26"/>
      <x:c r="AK384" s="26"/>
      <x:c r="AL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  <x:c r="AA385" s="26"/>
      <x:c r="AB385" s="26"/>
      <x:c r="AC385" s="26"/>
      <x:c r="AD385" s="26"/>
      <x:c r="AE385" s="26"/>
      <x:c r="AF385" s="26"/>
      <x:c r="AG385" s="26"/>
      <x:c r="AH385" s="26"/>
      <x:c r="AI385" s="26"/>
      <x:c r="AJ385" s="26"/>
      <x:c r="AK385" s="26"/>
      <x:c r="AL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  <x:c r="AA386" s="26"/>
      <x:c r="AB386" s="26"/>
      <x:c r="AC386" s="26"/>
      <x:c r="AD386" s="26"/>
      <x:c r="AE386" s="26"/>
      <x:c r="AF386" s="26"/>
      <x:c r="AG386" s="26"/>
      <x:c r="AH386" s="26"/>
      <x:c r="AI386" s="26"/>
      <x:c r="AJ386" s="26"/>
      <x:c r="AK386" s="26"/>
      <x:c r="AL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  <x:c r="AA387" s="26"/>
      <x:c r="AB387" s="26"/>
      <x:c r="AC387" s="26"/>
      <x:c r="AD387" s="26"/>
      <x:c r="AE387" s="26"/>
      <x:c r="AF387" s="26"/>
      <x:c r="AG387" s="26"/>
      <x:c r="AH387" s="26"/>
      <x:c r="AI387" s="26"/>
      <x:c r="AJ387" s="26"/>
      <x:c r="AK387" s="26"/>
      <x:c r="AL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  <x:c r="AA388" s="26"/>
      <x:c r="AB388" s="26"/>
      <x:c r="AC388" s="26"/>
      <x:c r="AD388" s="26"/>
      <x:c r="AE388" s="26"/>
      <x:c r="AF388" s="26"/>
      <x:c r="AG388" s="26"/>
      <x:c r="AH388" s="26"/>
      <x:c r="AI388" s="26"/>
      <x:c r="AJ388" s="26"/>
      <x:c r="AK388" s="26"/>
      <x:c r="AL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  <x:c r="AA389" s="26"/>
      <x:c r="AB389" s="26"/>
      <x:c r="AC389" s="26"/>
      <x:c r="AD389" s="26"/>
      <x:c r="AE389" s="26"/>
      <x:c r="AF389" s="26"/>
      <x:c r="AG389" s="26"/>
      <x:c r="AH389" s="26"/>
      <x:c r="AI389" s="26"/>
      <x:c r="AJ389" s="26"/>
      <x:c r="AK389" s="26"/>
      <x:c r="AL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  <x:c r="AA390" s="26"/>
      <x:c r="AB390" s="26"/>
      <x:c r="AC390" s="26"/>
      <x:c r="AD390" s="26"/>
      <x:c r="AE390" s="26"/>
      <x:c r="AF390" s="26"/>
      <x:c r="AG390" s="26"/>
      <x:c r="AH390" s="26"/>
      <x:c r="AI390" s="26"/>
      <x:c r="AJ390" s="26"/>
      <x:c r="AK390" s="26"/>
      <x:c r="AL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  <x:c r="AA391" s="26"/>
      <x:c r="AB391" s="26"/>
      <x:c r="AC391" s="26"/>
      <x:c r="AD391" s="26"/>
      <x:c r="AE391" s="26"/>
      <x:c r="AF391" s="26"/>
      <x:c r="AG391" s="26"/>
      <x:c r="AH391" s="26"/>
      <x:c r="AI391" s="26"/>
      <x:c r="AJ391" s="26"/>
      <x:c r="AK391" s="26"/>
      <x:c r="AL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  <x:c r="AA392" s="26"/>
      <x:c r="AB392" s="26"/>
      <x:c r="AC392" s="26"/>
      <x:c r="AD392" s="26"/>
      <x:c r="AE392" s="26"/>
      <x:c r="AF392" s="26"/>
      <x:c r="AG392" s="26"/>
      <x:c r="AH392" s="26"/>
      <x:c r="AI392" s="26"/>
      <x:c r="AJ392" s="26"/>
      <x:c r="AK392" s="26"/>
      <x:c r="AL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  <x:c r="AA393" s="26"/>
      <x:c r="AB393" s="26"/>
      <x:c r="AC393" s="26"/>
      <x:c r="AD393" s="26"/>
      <x:c r="AE393" s="26"/>
      <x:c r="AF393" s="26"/>
      <x:c r="AG393" s="26"/>
      <x:c r="AH393" s="26"/>
      <x:c r="AI393" s="26"/>
      <x:c r="AJ393" s="26"/>
      <x:c r="AK393" s="26"/>
      <x:c r="AL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  <x:c r="AA394" s="26"/>
      <x:c r="AB394" s="26"/>
      <x:c r="AC394" s="26"/>
      <x:c r="AD394" s="26"/>
      <x:c r="AE394" s="26"/>
      <x:c r="AF394" s="26"/>
      <x:c r="AG394" s="26"/>
      <x:c r="AH394" s="26"/>
      <x:c r="AI394" s="26"/>
      <x:c r="AJ394" s="26"/>
      <x:c r="AK394" s="26"/>
      <x:c r="AL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  <x:c r="AA395" s="26"/>
      <x:c r="AB395" s="26"/>
      <x:c r="AC395" s="26"/>
      <x:c r="AD395" s="26"/>
      <x:c r="AE395" s="26"/>
      <x:c r="AF395" s="26"/>
      <x:c r="AG395" s="26"/>
      <x:c r="AH395" s="26"/>
      <x:c r="AI395" s="26"/>
      <x:c r="AJ395" s="26"/>
      <x:c r="AK395" s="26"/>
      <x:c r="AL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  <x:c r="AA396" s="26"/>
      <x:c r="AB396" s="26"/>
      <x:c r="AC396" s="26"/>
      <x:c r="AD396" s="26"/>
      <x:c r="AE396" s="26"/>
      <x:c r="AF396" s="26"/>
      <x:c r="AG396" s="26"/>
      <x:c r="AH396" s="26"/>
      <x:c r="AI396" s="26"/>
      <x:c r="AJ396" s="26"/>
      <x:c r="AK396" s="26"/>
      <x:c r="AL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  <x:c r="AA397" s="26"/>
      <x:c r="AB397" s="26"/>
      <x:c r="AC397" s="26"/>
      <x:c r="AD397" s="26"/>
      <x:c r="AE397" s="26"/>
      <x:c r="AF397" s="26"/>
      <x:c r="AG397" s="26"/>
      <x:c r="AH397" s="26"/>
      <x:c r="AI397" s="26"/>
      <x:c r="AJ397" s="26"/>
      <x:c r="AK397" s="26"/>
      <x:c r="AL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  <x:c r="AA398" s="26"/>
      <x:c r="AB398" s="26"/>
      <x:c r="AC398" s="26"/>
      <x:c r="AD398" s="26"/>
      <x:c r="AE398" s="26"/>
      <x:c r="AF398" s="26"/>
      <x:c r="AG398" s="26"/>
      <x:c r="AH398" s="26"/>
      <x:c r="AI398" s="26"/>
      <x:c r="AJ398" s="26"/>
      <x:c r="AK398" s="26"/>
      <x:c r="AL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  <x:c r="AA399" s="26"/>
      <x:c r="AB399" s="26"/>
      <x:c r="AC399" s="26"/>
      <x:c r="AD399" s="26"/>
      <x:c r="AE399" s="26"/>
      <x:c r="AF399" s="26"/>
      <x:c r="AG399" s="26"/>
      <x:c r="AH399" s="26"/>
      <x:c r="AI399" s="26"/>
      <x:c r="AJ399" s="26"/>
      <x:c r="AK399" s="26"/>
      <x:c r="AL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  <x:c r="AA400" s="26"/>
      <x:c r="AB400" s="26"/>
      <x:c r="AC400" s="26"/>
      <x:c r="AD400" s="26"/>
      <x:c r="AE400" s="26"/>
      <x:c r="AF400" s="26"/>
      <x:c r="AG400" s="26"/>
      <x:c r="AH400" s="26"/>
      <x:c r="AI400" s="26"/>
      <x:c r="AJ400" s="26"/>
      <x:c r="AK400" s="26"/>
      <x:c r="AL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  <x:c r="AA401" s="26"/>
      <x:c r="AB401" s="26"/>
      <x:c r="AC401" s="26"/>
      <x:c r="AD401" s="26"/>
      <x:c r="AE401" s="26"/>
      <x:c r="AF401" s="26"/>
      <x:c r="AG401" s="26"/>
      <x:c r="AH401" s="26"/>
      <x:c r="AI401" s="26"/>
      <x:c r="AJ401" s="26"/>
      <x:c r="AK401" s="26"/>
      <x:c r="AL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  <x:c r="AA402" s="26"/>
      <x:c r="AB402" s="26"/>
      <x:c r="AC402" s="26"/>
      <x:c r="AD402" s="26"/>
      <x:c r="AE402" s="26"/>
      <x:c r="AF402" s="26"/>
      <x:c r="AG402" s="26"/>
      <x:c r="AH402" s="26"/>
      <x:c r="AI402" s="26"/>
      <x:c r="AJ402" s="26"/>
      <x:c r="AK402" s="26"/>
      <x:c r="AL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  <x:c r="AA403" s="26"/>
      <x:c r="AB403" s="26"/>
      <x:c r="AC403" s="26"/>
      <x:c r="AD403" s="26"/>
      <x:c r="AE403" s="26"/>
      <x:c r="AF403" s="26"/>
      <x:c r="AG403" s="26"/>
      <x:c r="AH403" s="26"/>
      <x:c r="AI403" s="26"/>
      <x:c r="AJ403" s="26"/>
      <x:c r="AK403" s="26"/>
      <x:c r="AL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  <x:c r="AA404" s="26"/>
      <x:c r="AB404" s="26"/>
      <x:c r="AC404" s="26"/>
      <x:c r="AD404" s="26"/>
      <x:c r="AE404" s="26"/>
      <x:c r="AF404" s="26"/>
      <x:c r="AG404" s="26"/>
      <x:c r="AH404" s="26"/>
      <x:c r="AI404" s="26"/>
      <x:c r="AJ404" s="26"/>
      <x:c r="AK404" s="26"/>
      <x:c r="AL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  <x:c r="AA405" s="26"/>
      <x:c r="AB405" s="26"/>
      <x:c r="AC405" s="26"/>
      <x:c r="AD405" s="26"/>
      <x:c r="AE405" s="26"/>
      <x:c r="AF405" s="26"/>
      <x:c r="AG405" s="26"/>
      <x:c r="AH405" s="26"/>
      <x:c r="AI405" s="26"/>
      <x:c r="AJ405" s="26"/>
      <x:c r="AK405" s="26"/>
      <x:c r="AL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  <x:c r="AA406" s="26"/>
      <x:c r="AB406" s="26"/>
      <x:c r="AC406" s="26"/>
      <x:c r="AD406" s="26"/>
      <x:c r="AE406" s="26"/>
      <x:c r="AF406" s="26"/>
      <x:c r="AG406" s="26"/>
      <x:c r="AH406" s="26"/>
      <x:c r="AI406" s="26"/>
      <x:c r="AJ406" s="26"/>
      <x:c r="AK406" s="26"/>
      <x:c r="AL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  <x:c r="AA407" s="26"/>
      <x:c r="AB407" s="26"/>
      <x:c r="AC407" s="26"/>
      <x:c r="AD407" s="26"/>
      <x:c r="AE407" s="26"/>
      <x:c r="AF407" s="26"/>
      <x:c r="AG407" s="26"/>
      <x:c r="AH407" s="26"/>
      <x:c r="AI407" s="26"/>
      <x:c r="AJ407" s="26"/>
      <x:c r="AK407" s="26"/>
      <x:c r="AL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  <x:c r="AA408" s="26"/>
      <x:c r="AB408" s="26"/>
      <x:c r="AC408" s="26"/>
      <x:c r="AD408" s="26"/>
      <x:c r="AE408" s="26"/>
      <x:c r="AF408" s="26"/>
      <x:c r="AG408" s="26"/>
      <x:c r="AH408" s="26"/>
      <x:c r="AI408" s="26"/>
      <x:c r="AJ408" s="26"/>
      <x:c r="AK408" s="26"/>
      <x:c r="AL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  <x:c r="AA409" s="26"/>
      <x:c r="AB409" s="26"/>
      <x:c r="AC409" s="26"/>
      <x:c r="AD409" s="26"/>
      <x:c r="AE409" s="26"/>
      <x:c r="AF409" s="26"/>
      <x:c r="AG409" s="26"/>
      <x:c r="AH409" s="26"/>
      <x:c r="AI409" s="26"/>
      <x:c r="AJ409" s="26"/>
      <x:c r="AK409" s="26"/>
      <x:c r="AL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  <x:c r="AA410" s="26"/>
      <x:c r="AB410" s="26"/>
      <x:c r="AC410" s="26"/>
      <x:c r="AD410" s="26"/>
      <x:c r="AE410" s="26"/>
      <x:c r="AF410" s="26"/>
      <x:c r="AG410" s="26"/>
      <x:c r="AH410" s="26"/>
      <x:c r="AI410" s="26"/>
      <x:c r="AJ410" s="26"/>
      <x:c r="AK410" s="26"/>
      <x:c r="AL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  <x:c r="AA411" s="26"/>
      <x:c r="AB411" s="26"/>
      <x:c r="AC411" s="26"/>
      <x:c r="AD411" s="26"/>
      <x:c r="AE411" s="26"/>
      <x:c r="AF411" s="26"/>
      <x:c r="AG411" s="26"/>
      <x:c r="AH411" s="26"/>
      <x:c r="AI411" s="26"/>
      <x:c r="AJ411" s="26"/>
      <x:c r="AK411" s="26"/>
      <x:c r="AL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  <x:c r="AA412" s="26"/>
      <x:c r="AB412" s="26"/>
      <x:c r="AC412" s="26"/>
      <x:c r="AD412" s="26"/>
      <x:c r="AE412" s="26"/>
      <x:c r="AF412" s="26"/>
      <x:c r="AG412" s="26"/>
      <x:c r="AH412" s="26"/>
      <x:c r="AI412" s="26"/>
      <x:c r="AJ412" s="26"/>
      <x:c r="AK412" s="26"/>
      <x:c r="AL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  <x:c r="AA413" s="26"/>
      <x:c r="AB413" s="26"/>
      <x:c r="AC413" s="26"/>
      <x:c r="AD413" s="26"/>
      <x:c r="AE413" s="26"/>
      <x:c r="AF413" s="26"/>
      <x:c r="AG413" s="26"/>
      <x:c r="AH413" s="26"/>
      <x:c r="AI413" s="26"/>
      <x:c r="AJ413" s="26"/>
      <x:c r="AK413" s="26"/>
      <x:c r="AL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  <x:c r="AA414" s="26"/>
      <x:c r="AB414" s="26"/>
      <x:c r="AC414" s="26"/>
      <x:c r="AD414" s="26"/>
      <x:c r="AE414" s="26"/>
      <x:c r="AF414" s="26"/>
      <x:c r="AG414" s="26"/>
      <x:c r="AH414" s="26"/>
      <x:c r="AI414" s="26"/>
      <x:c r="AJ414" s="26"/>
      <x:c r="AK414" s="26"/>
      <x:c r="AL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  <x:c r="AA415" s="26"/>
      <x:c r="AB415" s="26"/>
      <x:c r="AC415" s="26"/>
      <x:c r="AD415" s="26"/>
      <x:c r="AE415" s="26"/>
      <x:c r="AF415" s="26"/>
      <x:c r="AG415" s="26"/>
      <x:c r="AH415" s="26"/>
      <x:c r="AI415" s="26"/>
      <x:c r="AJ415" s="26"/>
      <x:c r="AK415" s="26"/>
      <x:c r="AL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  <x:c r="AA416" s="26"/>
      <x:c r="AB416" s="26"/>
      <x:c r="AC416" s="26"/>
      <x:c r="AD416" s="26"/>
      <x:c r="AE416" s="26"/>
      <x:c r="AF416" s="26"/>
      <x:c r="AG416" s="26"/>
      <x:c r="AH416" s="26"/>
      <x:c r="AI416" s="26"/>
      <x:c r="AJ416" s="26"/>
      <x:c r="AK416" s="26"/>
      <x:c r="AL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  <x:c r="AA417" s="26"/>
      <x:c r="AB417" s="26"/>
      <x:c r="AC417" s="26"/>
      <x:c r="AD417" s="26"/>
      <x:c r="AE417" s="26"/>
      <x:c r="AF417" s="26"/>
      <x:c r="AG417" s="26"/>
      <x:c r="AH417" s="26"/>
      <x:c r="AI417" s="26"/>
      <x:c r="AJ417" s="26"/>
      <x:c r="AK417" s="26"/>
      <x:c r="AL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  <x:c r="AA418" s="26"/>
      <x:c r="AB418" s="26"/>
      <x:c r="AC418" s="26"/>
      <x:c r="AD418" s="26"/>
      <x:c r="AE418" s="26"/>
      <x:c r="AF418" s="26"/>
      <x:c r="AG418" s="26"/>
      <x:c r="AH418" s="26"/>
      <x:c r="AI418" s="26"/>
      <x:c r="AJ418" s="26"/>
      <x:c r="AK418" s="26"/>
      <x:c r="AL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  <x:c r="AA419" s="26"/>
      <x:c r="AB419" s="26"/>
      <x:c r="AC419" s="26"/>
      <x:c r="AD419" s="26"/>
      <x:c r="AE419" s="26"/>
      <x:c r="AF419" s="26"/>
      <x:c r="AG419" s="26"/>
      <x:c r="AH419" s="26"/>
      <x:c r="AI419" s="26"/>
      <x:c r="AJ419" s="26"/>
      <x:c r="AK419" s="26"/>
      <x:c r="AL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  <x:c r="AA420" s="26"/>
      <x:c r="AB420" s="26"/>
      <x:c r="AC420" s="26"/>
      <x:c r="AD420" s="26"/>
      <x:c r="AE420" s="26"/>
      <x:c r="AF420" s="26"/>
      <x:c r="AG420" s="26"/>
      <x:c r="AH420" s="26"/>
      <x:c r="AI420" s="26"/>
      <x:c r="AJ420" s="26"/>
      <x:c r="AK420" s="26"/>
      <x:c r="AL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  <x:c r="AA421" s="26"/>
      <x:c r="AB421" s="26"/>
      <x:c r="AC421" s="26"/>
      <x:c r="AD421" s="26"/>
      <x:c r="AE421" s="26"/>
      <x:c r="AF421" s="26"/>
      <x:c r="AG421" s="26"/>
      <x:c r="AH421" s="26"/>
      <x:c r="AI421" s="26"/>
      <x:c r="AJ421" s="26"/>
      <x:c r="AK421" s="26"/>
      <x:c r="AL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  <x:c r="AA422" s="26"/>
      <x:c r="AB422" s="26"/>
      <x:c r="AC422" s="26"/>
      <x:c r="AD422" s="26"/>
      <x:c r="AE422" s="26"/>
      <x:c r="AF422" s="26"/>
      <x:c r="AG422" s="26"/>
      <x:c r="AH422" s="26"/>
      <x:c r="AI422" s="26"/>
      <x:c r="AJ422" s="26"/>
      <x:c r="AK422" s="26"/>
      <x:c r="AL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  <x:c r="AA423" s="26"/>
      <x:c r="AB423" s="26"/>
      <x:c r="AC423" s="26"/>
      <x:c r="AD423" s="26"/>
      <x:c r="AE423" s="26"/>
      <x:c r="AF423" s="26"/>
      <x:c r="AG423" s="26"/>
      <x:c r="AH423" s="26"/>
      <x:c r="AI423" s="26"/>
      <x:c r="AJ423" s="26"/>
      <x:c r="AK423" s="26"/>
      <x:c r="AL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  <x:c r="AA424" s="26"/>
      <x:c r="AB424" s="26"/>
      <x:c r="AC424" s="26"/>
      <x:c r="AD424" s="26"/>
      <x:c r="AE424" s="26"/>
      <x:c r="AF424" s="26"/>
      <x:c r="AG424" s="26"/>
      <x:c r="AH424" s="26"/>
      <x:c r="AI424" s="26"/>
      <x:c r="AJ424" s="26"/>
      <x:c r="AK424" s="26"/>
      <x:c r="AL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  <x:c r="AA425" s="26"/>
      <x:c r="AB425" s="26"/>
      <x:c r="AC425" s="26"/>
      <x:c r="AD425" s="26"/>
      <x:c r="AE425" s="26"/>
      <x:c r="AF425" s="26"/>
      <x:c r="AG425" s="26"/>
      <x:c r="AH425" s="26"/>
      <x:c r="AI425" s="26"/>
      <x:c r="AJ425" s="26"/>
      <x:c r="AK425" s="26"/>
      <x:c r="AL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  <x:c r="AA426" s="26"/>
      <x:c r="AB426" s="26"/>
      <x:c r="AC426" s="26"/>
      <x:c r="AD426" s="26"/>
      <x:c r="AE426" s="26"/>
      <x:c r="AF426" s="26"/>
      <x:c r="AG426" s="26"/>
      <x:c r="AH426" s="26"/>
      <x:c r="AI426" s="26"/>
      <x:c r="AJ426" s="26"/>
      <x:c r="AK426" s="26"/>
      <x:c r="AL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  <x:c r="AA427" s="26"/>
      <x:c r="AB427" s="26"/>
      <x:c r="AC427" s="26"/>
      <x:c r="AD427" s="26"/>
      <x:c r="AE427" s="26"/>
      <x:c r="AF427" s="26"/>
      <x:c r="AG427" s="26"/>
      <x:c r="AH427" s="26"/>
      <x:c r="AI427" s="26"/>
      <x:c r="AJ427" s="26"/>
      <x:c r="AK427" s="26"/>
      <x:c r="AL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  <x:c r="AA428" s="26"/>
      <x:c r="AB428" s="26"/>
      <x:c r="AC428" s="26"/>
      <x:c r="AD428" s="26"/>
      <x:c r="AE428" s="26"/>
      <x:c r="AF428" s="26"/>
      <x:c r="AG428" s="26"/>
      <x:c r="AH428" s="26"/>
      <x:c r="AI428" s="26"/>
      <x:c r="AJ428" s="26"/>
      <x:c r="AK428" s="26"/>
      <x:c r="AL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  <x:c r="AA429" s="26"/>
      <x:c r="AB429" s="26"/>
      <x:c r="AC429" s="26"/>
      <x:c r="AD429" s="26"/>
      <x:c r="AE429" s="26"/>
      <x:c r="AF429" s="26"/>
      <x:c r="AG429" s="26"/>
      <x:c r="AH429" s="26"/>
      <x:c r="AI429" s="26"/>
      <x:c r="AJ429" s="26"/>
      <x:c r="AK429" s="26"/>
      <x:c r="AL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  <x:c r="AA430" s="26"/>
      <x:c r="AB430" s="26"/>
      <x:c r="AC430" s="26"/>
      <x:c r="AD430" s="26"/>
      <x:c r="AE430" s="26"/>
      <x:c r="AF430" s="26"/>
      <x:c r="AG430" s="26"/>
      <x:c r="AH430" s="26"/>
      <x:c r="AI430" s="26"/>
      <x:c r="AJ430" s="26"/>
      <x:c r="AK430" s="26"/>
      <x:c r="AL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  <x:c r="AA431" s="26"/>
      <x:c r="AB431" s="26"/>
      <x:c r="AC431" s="26"/>
      <x:c r="AD431" s="26"/>
      <x:c r="AE431" s="26"/>
      <x:c r="AF431" s="26"/>
      <x:c r="AG431" s="26"/>
      <x:c r="AH431" s="26"/>
      <x:c r="AI431" s="26"/>
      <x:c r="AJ431" s="26"/>
      <x:c r="AK431" s="26"/>
      <x:c r="AL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  <x:c r="AA432" s="26"/>
      <x:c r="AB432" s="26"/>
      <x:c r="AC432" s="26"/>
      <x:c r="AD432" s="26"/>
      <x:c r="AE432" s="26"/>
      <x:c r="AF432" s="26"/>
      <x:c r="AG432" s="26"/>
      <x:c r="AH432" s="26"/>
      <x:c r="AI432" s="26"/>
      <x:c r="AJ432" s="26"/>
      <x:c r="AK432" s="26"/>
      <x:c r="AL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  <x:c r="AA433" s="26"/>
      <x:c r="AB433" s="26"/>
      <x:c r="AC433" s="26"/>
      <x:c r="AD433" s="26"/>
      <x:c r="AE433" s="26"/>
      <x:c r="AF433" s="26"/>
      <x:c r="AG433" s="26"/>
      <x:c r="AH433" s="26"/>
      <x:c r="AI433" s="26"/>
      <x:c r="AJ433" s="26"/>
      <x:c r="AK433" s="26"/>
      <x:c r="AL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  <x:c r="AA434" s="26"/>
      <x:c r="AB434" s="26"/>
      <x:c r="AC434" s="26"/>
      <x:c r="AD434" s="26"/>
      <x:c r="AE434" s="26"/>
      <x:c r="AF434" s="26"/>
      <x:c r="AG434" s="26"/>
      <x:c r="AH434" s="26"/>
      <x:c r="AI434" s="26"/>
      <x:c r="AJ434" s="26"/>
      <x:c r="AK434" s="26"/>
      <x:c r="AL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  <x:c r="AA435" s="26"/>
      <x:c r="AB435" s="26"/>
      <x:c r="AC435" s="26"/>
      <x:c r="AD435" s="26"/>
      <x:c r="AE435" s="26"/>
      <x:c r="AF435" s="26"/>
      <x:c r="AG435" s="26"/>
      <x:c r="AH435" s="26"/>
      <x:c r="AI435" s="26"/>
      <x:c r="AJ435" s="26"/>
      <x:c r="AK435" s="26"/>
      <x:c r="AL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  <x:c r="AA436" s="26"/>
      <x:c r="AB436" s="26"/>
      <x:c r="AC436" s="26"/>
      <x:c r="AD436" s="26"/>
      <x:c r="AE436" s="26"/>
      <x:c r="AF436" s="26"/>
      <x:c r="AG436" s="26"/>
      <x:c r="AH436" s="26"/>
      <x:c r="AI436" s="26"/>
      <x:c r="AJ436" s="26"/>
      <x:c r="AK436" s="26"/>
      <x:c r="AL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  <x:c r="AA437" s="26"/>
      <x:c r="AB437" s="26"/>
      <x:c r="AC437" s="26"/>
      <x:c r="AD437" s="26"/>
      <x:c r="AE437" s="26"/>
      <x:c r="AF437" s="26"/>
      <x:c r="AG437" s="26"/>
      <x:c r="AH437" s="26"/>
      <x:c r="AI437" s="26"/>
      <x:c r="AJ437" s="26"/>
      <x:c r="AK437" s="26"/>
      <x:c r="AL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  <x:c r="AA438" s="26"/>
      <x:c r="AB438" s="26"/>
      <x:c r="AC438" s="26"/>
      <x:c r="AD438" s="26"/>
      <x:c r="AE438" s="26"/>
      <x:c r="AF438" s="26"/>
      <x:c r="AG438" s="26"/>
      <x:c r="AH438" s="26"/>
      <x:c r="AI438" s="26"/>
      <x:c r="AJ438" s="26"/>
      <x:c r="AK438" s="26"/>
      <x:c r="AL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  <x:c r="AA439" s="26"/>
      <x:c r="AB439" s="26"/>
      <x:c r="AC439" s="26"/>
      <x:c r="AD439" s="26"/>
      <x:c r="AE439" s="26"/>
      <x:c r="AF439" s="26"/>
      <x:c r="AG439" s="26"/>
      <x:c r="AH439" s="26"/>
      <x:c r="AI439" s="26"/>
      <x:c r="AJ439" s="26"/>
      <x:c r="AK439" s="26"/>
      <x:c r="AL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  <x:c r="AA440" s="26"/>
      <x:c r="AB440" s="26"/>
      <x:c r="AC440" s="26"/>
      <x:c r="AD440" s="26"/>
      <x:c r="AE440" s="26"/>
      <x:c r="AF440" s="26"/>
      <x:c r="AG440" s="26"/>
      <x:c r="AH440" s="26"/>
      <x:c r="AI440" s="26"/>
      <x:c r="AJ440" s="26"/>
      <x:c r="AK440" s="26"/>
      <x:c r="AL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  <x:c r="AA441" s="26"/>
      <x:c r="AB441" s="26"/>
      <x:c r="AC441" s="26"/>
      <x:c r="AD441" s="26"/>
      <x:c r="AE441" s="26"/>
      <x:c r="AF441" s="26"/>
      <x:c r="AG441" s="26"/>
      <x:c r="AH441" s="26"/>
      <x:c r="AI441" s="26"/>
      <x:c r="AJ441" s="26"/>
      <x:c r="AK441" s="26"/>
      <x:c r="AL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  <x:c r="AA442" s="26"/>
      <x:c r="AB442" s="26"/>
      <x:c r="AC442" s="26"/>
      <x:c r="AD442" s="26"/>
      <x:c r="AE442" s="26"/>
      <x:c r="AF442" s="26"/>
      <x:c r="AG442" s="26"/>
      <x:c r="AH442" s="26"/>
      <x:c r="AI442" s="26"/>
      <x:c r="AJ442" s="26"/>
      <x:c r="AK442" s="26"/>
      <x:c r="AL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  <x:c r="AA443" s="26"/>
      <x:c r="AB443" s="26"/>
      <x:c r="AC443" s="26"/>
      <x:c r="AD443" s="26"/>
      <x:c r="AE443" s="26"/>
      <x:c r="AF443" s="26"/>
      <x:c r="AG443" s="26"/>
      <x:c r="AH443" s="26"/>
      <x:c r="AI443" s="26"/>
      <x:c r="AJ443" s="26"/>
      <x:c r="AK443" s="26"/>
      <x:c r="AL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  <x:c r="AA444" s="26"/>
      <x:c r="AB444" s="26"/>
      <x:c r="AC444" s="26"/>
      <x:c r="AD444" s="26"/>
      <x:c r="AE444" s="26"/>
      <x:c r="AF444" s="26"/>
      <x:c r="AG444" s="26"/>
      <x:c r="AH444" s="26"/>
      <x:c r="AI444" s="26"/>
      <x:c r="AJ444" s="26"/>
      <x:c r="AK444" s="26"/>
      <x:c r="AL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  <x:c r="AA445" s="26"/>
      <x:c r="AB445" s="26"/>
      <x:c r="AC445" s="26"/>
      <x:c r="AD445" s="26"/>
      <x:c r="AE445" s="26"/>
      <x:c r="AF445" s="26"/>
      <x:c r="AG445" s="26"/>
      <x:c r="AH445" s="26"/>
      <x:c r="AI445" s="26"/>
      <x:c r="AJ445" s="26"/>
      <x:c r="AK445" s="26"/>
      <x:c r="AL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  <x:c r="AA446" s="26"/>
      <x:c r="AB446" s="26"/>
      <x:c r="AC446" s="26"/>
      <x:c r="AD446" s="26"/>
      <x:c r="AE446" s="26"/>
      <x:c r="AF446" s="26"/>
      <x:c r="AG446" s="26"/>
      <x:c r="AH446" s="26"/>
      <x:c r="AI446" s="26"/>
      <x:c r="AJ446" s="26"/>
      <x:c r="AK446" s="26"/>
      <x:c r="AL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  <x:c r="AA447" s="26"/>
      <x:c r="AB447" s="26"/>
      <x:c r="AC447" s="26"/>
      <x:c r="AD447" s="26"/>
      <x:c r="AE447" s="26"/>
      <x:c r="AF447" s="26"/>
      <x:c r="AG447" s="26"/>
      <x:c r="AH447" s="26"/>
      <x:c r="AI447" s="26"/>
      <x:c r="AJ447" s="26"/>
      <x:c r="AK447" s="26"/>
      <x:c r="AL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  <x:c r="AA448" s="26"/>
      <x:c r="AB448" s="26"/>
      <x:c r="AC448" s="26"/>
      <x:c r="AD448" s="26"/>
      <x:c r="AE448" s="26"/>
      <x:c r="AF448" s="26"/>
      <x:c r="AG448" s="26"/>
      <x:c r="AH448" s="26"/>
      <x:c r="AI448" s="26"/>
      <x:c r="AJ448" s="26"/>
      <x:c r="AK448" s="26"/>
      <x:c r="AL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  <x:c r="AA449" s="26"/>
      <x:c r="AB449" s="26"/>
      <x:c r="AC449" s="26"/>
      <x:c r="AD449" s="26"/>
      <x:c r="AE449" s="26"/>
      <x:c r="AF449" s="26"/>
      <x:c r="AG449" s="26"/>
      <x:c r="AH449" s="26"/>
      <x:c r="AI449" s="26"/>
      <x:c r="AJ449" s="26"/>
      <x:c r="AK449" s="26"/>
      <x:c r="AL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  <x:c r="AA450" s="26"/>
      <x:c r="AB450" s="26"/>
      <x:c r="AC450" s="26"/>
      <x:c r="AD450" s="26"/>
      <x:c r="AE450" s="26"/>
      <x:c r="AF450" s="26"/>
      <x:c r="AG450" s="26"/>
      <x:c r="AH450" s="26"/>
      <x:c r="AI450" s="26"/>
      <x:c r="AJ450" s="26"/>
      <x:c r="AK450" s="26"/>
      <x:c r="AL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  <x:c r="AA451" s="26"/>
      <x:c r="AB451" s="26"/>
      <x:c r="AC451" s="26"/>
      <x:c r="AD451" s="26"/>
      <x:c r="AE451" s="26"/>
      <x:c r="AF451" s="26"/>
      <x:c r="AG451" s="26"/>
      <x:c r="AH451" s="26"/>
      <x:c r="AI451" s="26"/>
      <x:c r="AJ451" s="26"/>
      <x:c r="AK451" s="26"/>
      <x:c r="AL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  <x:c r="AA452" s="26"/>
      <x:c r="AB452" s="26"/>
      <x:c r="AC452" s="26"/>
      <x:c r="AD452" s="26"/>
      <x:c r="AE452" s="26"/>
      <x:c r="AF452" s="26"/>
      <x:c r="AG452" s="26"/>
      <x:c r="AH452" s="26"/>
      <x:c r="AI452" s="26"/>
      <x:c r="AJ452" s="26"/>
      <x:c r="AK452" s="26"/>
      <x:c r="AL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  <x:c r="AA453" s="26"/>
      <x:c r="AB453" s="26"/>
      <x:c r="AC453" s="26"/>
      <x:c r="AD453" s="26"/>
      <x:c r="AE453" s="26"/>
      <x:c r="AF453" s="26"/>
      <x:c r="AG453" s="26"/>
      <x:c r="AH453" s="26"/>
      <x:c r="AI453" s="26"/>
      <x:c r="AJ453" s="26"/>
      <x:c r="AK453" s="26"/>
      <x:c r="AL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  <x:c r="AA454" s="26"/>
      <x:c r="AB454" s="26"/>
      <x:c r="AC454" s="26"/>
      <x:c r="AD454" s="26"/>
      <x:c r="AE454" s="26"/>
      <x:c r="AF454" s="26"/>
      <x:c r="AG454" s="26"/>
      <x:c r="AH454" s="26"/>
      <x:c r="AI454" s="26"/>
      <x:c r="AJ454" s="26"/>
      <x:c r="AK454" s="26"/>
      <x:c r="AL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  <x:c r="AA455" s="26"/>
      <x:c r="AB455" s="26"/>
      <x:c r="AC455" s="26"/>
      <x:c r="AD455" s="26"/>
      <x:c r="AE455" s="26"/>
      <x:c r="AF455" s="26"/>
      <x:c r="AG455" s="26"/>
      <x:c r="AH455" s="26"/>
      <x:c r="AI455" s="26"/>
      <x:c r="AJ455" s="26"/>
      <x:c r="AK455" s="26"/>
      <x:c r="AL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  <x:c r="AA456" s="26"/>
      <x:c r="AB456" s="26"/>
      <x:c r="AC456" s="26"/>
      <x:c r="AD456" s="26"/>
      <x:c r="AE456" s="26"/>
      <x:c r="AF456" s="26"/>
      <x:c r="AG456" s="26"/>
      <x:c r="AH456" s="26"/>
      <x:c r="AI456" s="26"/>
      <x:c r="AJ456" s="26"/>
      <x:c r="AK456" s="26"/>
      <x:c r="AL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  <x:c r="AA457" s="26"/>
      <x:c r="AB457" s="26"/>
      <x:c r="AC457" s="26"/>
      <x:c r="AD457" s="26"/>
      <x:c r="AE457" s="26"/>
      <x:c r="AF457" s="26"/>
      <x:c r="AG457" s="26"/>
      <x:c r="AH457" s="26"/>
      <x:c r="AI457" s="26"/>
      <x:c r="AJ457" s="26"/>
      <x:c r="AK457" s="26"/>
      <x:c r="AL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  <x:c r="AA458" s="26"/>
      <x:c r="AB458" s="26"/>
      <x:c r="AC458" s="26"/>
      <x:c r="AD458" s="26"/>
      <x:c r="AE458" s="26"/>
      <x:c r="AF458" s="26"/>
      <x:c r="AG458" s="26"/>
      <x:c r="AH458" s="26"/>
      <x:c r="AI458" s="26"/>
      <x:c r="AJ458" s="26"/>
      <x:c r="AK458" s="26"/>
      <x:c r="AL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  <x:c r="AA459" s="26"/>
      <x:c r="AB459" s="26"/>
      <x:c r="AC459" s="26"/>
      <x:c r="AD459" s="26"/>
      <x:c r="AE459" s="26"/>
      <x:c r="AF459" s="26"/>
      <x:c r="AG459" s="26"/>
      <x:c r="AH459" s="26"/>
      <x:c r="AI459" s="26"/>
      <x:c r="AJ459" s="26"/>
      <x:c r="AK459" s="26"/>
      <x:c r="AL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  <x:c r="AA460" s="26"/>
      <x:c r="AB460" s="26"/>
      <x:c r="AC460" s="26"/>
      <x:c r="AD460" s="26"/>
      <x:c r="AE460" s="26"/>
      <x:c r="AF460" s="26"/>
      <x:c r="AG460" s="26"/>
      <x:c r="AH460" s="26"/>
      <x:c r="AI460" s="26"/>
      <x:c r="AJ460" s="26"/>
      <x:c r="AK460" s="26"/>
      <x:c r="AL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  <x:c r="AA461" s="26"/>
      <x:c r="AB461" s="26"/>
      <x:c r="AC461" s="26"/>
      <x:c r="AD461" s="26"/>
      <x:c r="AE461" s="26"/>
      <x:c r="AF461" s="26"/>
      <x:c r="AG461" s="26"/>
      <x:c r="AH461" s="26"/>
      <x:c r="AI461" s="26"/>
      <x:c r="AJ461" s="26"/>
      <x:c r="AK461" s="26"/>
      <x:c r="AL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  <x:c r="AA462" s="26"/>
      <x:c r="AB462" s="26"/>
      <x:c r="AC462" s="26"/>
      <x:c r="AD462" s="26"/>
      <x:c r="AE462" s="26"/>
      <x:c r="AF462" s="26"/>
      <x:c r="AG462" s="26"/>
      <x:c r="AH462" s="26"/>
      <x:c r="AI462" s="26"/>
      <x:c r="AJ462" s="26"/>
      <x:c r="AK462" s="26"/>
      <x:c r="AL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  <x:c r="AA463" s="26"/>
      <x:c r="AB463" s="26"/>
      <x:c r="AC463" s="26"/>
      <x:c r="AD463" s="26"/>
      <x:c r="AE463" s="26"/>
      <x:c r="AF463" s="26"/>
      <x:c r="AG463" s="26"/>
      <x:c r="AH463" s="26"/>
      <x:c r="AI463" s="26"/>
      <x:c r="AJ463" s="26"/>
      <x:c r="AK463" s="26"/>
      <x:c r="AL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  <x:c r="AA464" s="26"/>
      <x:c r="AB464" s="26"/>
      <x:c r="AC464" s="26"/>
      <x:c r="AD464" s="26"/>
      <x:c r="AE464" s="26"/>
      <x:c r="AF464" s="26"/>
      <x:c r="AG464" s="26"/>
      <x:c r="AH464" s="26"/>
      <x:c r="AI464" s="26"/>
      <x:c r="AJ464" s="26"/>
      <x:c r="AK464" s="26"/>
      <x:c r="AL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  <x:c r="AA465" s="26"/>
      <x:c r="AB465" s="26"/>
      <x:c r="AC465" s="26"/>
      <x:c r="AD465" s="26"/>
      <x:c r="AE465" s="26"/>
      <x:c r="AF465" s="26"/>
      <x:c r="AG465" s="26"/>
      <x:c r="AH465" s="26"/>
      <x:c r="AI465" s="26"/>
      <x:c r="AJ465" s="26"/>
      <x:c r="AK465" s="26"/>
      <x:c r="AL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  <x:c r="AA466" s="26"/>
      <x:c r="AB466" s="26"/>
      <x:c r="AC466" s="26"/>
      <x:c r="AD466" s="26"/>
      <x:c r="AE466" s="26"/>
      <x:c r="AF466" s="26"/>
      <x:c r="AG466" s="26"/>
      <x:c r="AH466" s="26"/>
      <x:c r="AI466" s="26"/>
      <x:c r="AJ466" s="26"/>
      <x:c r="AK466" s="26"/>
      <x:c r="AL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  <x:c r="AA467" s="26"/>
      <x:c r="AB467" s="26"/>
      <x:c r="AC467" s="26"/>
      <x:c r="AD467" s="26"/>
      <x:c r="AE467" s="26"/>
      <x:c r="AF467" s="26"/>
      <x:c r="AG467" s="26"/>
      <x:c r="AH467" s="26"/>
      <x:c r="AI467" s="26"/>
      <x:c r="AJ467" s="26"/>
      <x:c r="AK467" s="26"/>
      <x:c r="AL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  <x:c r="AA468" s="26"/>
      <x:c r="AB468" s="26"/>
      <x:c r="AC468" s="26"/>
      <x:c r="AD468" s="26"/>
      <x:c r="AE468" s="26"/>
      <x:c r="AF468" s="26"/>
      <x:c r="AG468" s="26"/>
      <x:c r="AH468" s="26"/>
      <x:c r="AI468" s="26"/>
      <x:c r="AJ468" s="26"/>
      <x:c r="AK468" s="26"/>
      <x:c r="AL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  <x:c r="AA469" s="26"/>
      <x:c r="AB469" s="26"/>
      <x:c r="AC469" s="26"/>
      <x:c r="AD469" s="26"/>
      <x:c r="AE469" s="26"/>
      <x:c r="AF469" s="26"/>
      <x:c r="AG469" s="26"/>
      <x:c r="AH469" s="26"/>
      <x:c r="AI469" s="26"/>
      <x:c r="AJ469" s="26"/>
      <x:c r="AK469" s="26"/>
      <x:c r="AL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  <x:c r="AA470" s="26"/>
      <x:c r="AB470" s="26"/>
      <x:c r="AC470" s="26"/>
      <x:c r="AD470" s="26"/>
      <x:c r="AE470" s="26"/>
      <x:c r="AF470" s="26"/>
      <x:c r="AG470" s="26"/>
      <x:c r="AH470" s="26"/>
      <x:c r="AI470" s="26"/>
      <x:c r="AJ470" s="26"/>
      <x:c r="AK470" s="26"/>
      <x:c r="AL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  <x:c r="AA471" s="26"/>
      <x:c r="AB471" s="26"/>
      <x:c r="AC471" s="26"/>
      <x:c r="AD471" s="26"/>
      <x:c r="AE471" s="26"/>
      <x:c r="AF471" s="26"/>
      <x:c r="AG471" s="26"/>
      <x:c r="AH471" s="26"/>
      <x:c r="AI471" s="26"/>
      <x:c r="AJ471" s="26"/>
      <x:c r="AK471" s="26"/>
      <x:c r="AL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  <x:c r="AA472" s="26"/>
      <x:c r="AB472" s="26"/>
      <x:c r="AC472" s="26"/>
      <x:c r="AD472" s="26"/>
      <x:c r="AE472" s="26"/>
      <x:c r="AF472" s="26"/>
      <x:c r="AG472" s="26"/>
      <x:c r="AH472" s="26"/>
      <x:c r="AI472" s="26"/>
      <x:c r="AJ472" s="26"/>
      <x:c r="AK472" s="26"/>
      <x:c r="AL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  <x:c r="AA473" s="26"/>
      <x:c r="AB473" s="26"/>
      <x:c r="AC473" s="26"/>
      <x:c r="AD473" s="26"/>
      <x:c r="AE473" s="26"/>
      <x:c r="AF473" s="26"/>
      <x:c r="AG473" s="26"/>
      <x:c r="AH473" s="26"/>
      <x:c r="AI473" s="26"/>
      <x:c r="AJ473" s="26"/>
      <x:c r="AK473" s="26"/>
      <x:c r="AL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  <x:c r="AA474" s="26"/>
      <x:c r="AB474" s="26"/>
      <x:c r="AC474" s="26"/>
      <x:c r="AD474" s="26"/>
      <x:c r="AE474" s="26"/>
      <x:c r="AF474" s="26"/>
      <x:c r="AG474" s="26"/>
      <x:c r="AH474" s="26"/>
      <x:c r="AI474" s="26"/>
      <x:c r="AJ474" s="26"/>
      <x:c r="AK474" s="26"/>
      <x:c r="AL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  <x:c r="AA475" s="26"/>
      <x:c r="AB475" s="26"/>
      <x:c r="AC475" s="26"/>
      <x:c r="AD475" s="26"/>
      <x:c r="AE475" s="26"/>
      <x:c r="AF475" s="26"/>
      <x:c r="AG475" s="26"/>
      <x:c r="AH475" s="26"/>
      <x:c r="AI475" s="26"/>
      <x:c r="AJ475" s="26"/>
      <x:c r="AK475" s="26"/>
      <x:c r="AL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  <x:c r="AA476" s="26"/>
      <x:c r="AB476" s="26"/>
      <x:c r="AC476" s="26"/>
      <x:c r="AD476" s="26"/>
      <x:c r="AE476" s="26"/>
      <x:c r="AF476" s="26"/>
      <x:c r="AG476" s="26"/>
      <x:c r="AH476" s="26"/>
      <x:c r="AI476" s="26"/>
      <x:c r="AJ476" s="26"/>
      <x:c r="AK476" s="26"/>
      <x:c r="AL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  <x:c r="AA477" s="26"/>
      <x:c r="AB477" s="26"/>
      <x:c r="AC477" s="26"/>
      <x:c r="AD477" s="26"/>
      <x:c r="AE477" s="26"/>
      <x:c r="AF477" s="26"/>
      <x:c r="AG477" s="26"/>
      <x:c r="AH477" s="26"/>
      <x:c r="AI477" s="26"/>
      <x:c r="AJ477" s="26"/>
      <x:c r="AK477" s="26"/>
      <x:c r="AL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  <x:c r="AA478" s="26"/>
      <x:c r="AB478" s="26"/>
      <x:c r="AC478" s="26"/>
      <x:c r="AD478" s="26"/>
      <x:c r="AE478" s="26"/>
      <x:c r="AF478" s="26"/>
      <x:c r="AG478" s="26"/>
      <x:c r="AH478" s="26"/>
      <x:c r="AI478" s="26"/>
      <x:c r="AJ478" s="26"/>
      <x:c r="AK478" s="26"/>
      <x:c r="AL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  <x:c r="AA479" s="26"/>
      <x:c r="AB479" s="26"/>
      <x:c r="AC479" s="26"/>
      <x:c r="AD479" s="26"/>
      <x:c r="AE479" s="26"/>
      <x:c r="AF479" s="26"/>
      <x:c r="AG479" s="26"/>
      <x:c r="AH479" s="26"/>
      <x:c r="AI479" s="26"/>
      <x:c r="AJ479" s="26"/>
      <x:c r="AK479" s="26"/>
      <x:c r="AL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  <x:c r="AA480" s="26"/>
      <x:c r="AB480" s="26"/>
      <x:c r="AC480" s="26"/>
      <x:c r="AD480" s="26"/>
      <x:c r="AE480" s="26"/>
      <x:c r="AF480" s="26"/>
      <x:c r="AG480" s="26"/>
      <x:c r="AH480" s="26"/>
      <x:c r="AI480" s="26"/>
      <x:c r="AJ480" s="26"/>
      <x:c r="AK480" s="26"/>
      <x:c r="AL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  <x:c r="AA481" s="26"/>
      <x:c r="AB481" s="26"/>
      <x:c r="AC481" s="26"/>
      <x:c r="AD481" s="26"/>
      <x:c r="AE481" s="26"/>
      <x:c r="AF481" s="26"/>
      <x:c r="AG481" s="26"/>
      <x:c r="AH481" s="26"/>
      <x:c r="AI481" s="26"/>
      <x:c r="AJ481" s="26"/>
      <x:c r="AK481" s="26"/>
      <x:c r="AL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  <x:c r="AA482" s="26"/>
      <x:c r="AB482" s="26"/>
      <x:c r="AC482" s="26"/>
      <x:c r="AD482" s="26"/>
      <x:c r="AE482" s="26"/>
      <x:c r="AF482" s="26"/>
      <x:c r="AG482" s="26"/>
      <x:c r="AH482" s="26"/>
      <x:c r="AI482" s="26"/>
      <x:c r="AJ482" s="26"/>
      <x:c r="AK482" s="26"/>
      <x:c r="AL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  <x:c r="AA483" s="26"/>
      <x:c r="AB483" s="26"/>
      <x:c r="AC483" s="26"/>
      <x:c r="AD483" s="26"/>
      <x:c r="AE483" s="26"/>
      <x:c r="AF483" s="26"/>
      <x:c r="AG483" s="26"/>
      <x:c r="AH483" s="26"/>
      <x:c r="AI483" s="26"/>
      <x:c r="AJ483" s="26"/>
      <x:c r="AK483" s="26"/>
      <x:c r="AL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  <x:c r="AA484" s="26"/>
      <x:c r="AB484" s="26"/>
      <x:c r="AC484" s="26"/>
      <x:c r="AD484" s="26"/>
      <x:c r="AE484" s="26"/>
      <x:c r="AF484" s="26"/>
      <x:c r="AG484" s="26"/>
      <x:c r="AH484" s="26"/>
      <x:c r="AI484" s="26"/>
      <x:c r="AJ484" s="26"/>
      <x:c r="AK484" s="26"/>
      <x:c r="AL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  <x:c r="AA485" s="26"/>
      <x:c r="AB485" s="26"/>
      <x:c r="AC485" s="26"/>
      <x:c r="AD485" s="26"/>
      <x:c r="AE485" s="26"/>
      <x:c r="AF485" s="26"/>
      <x:c r="AG485" s="26"/>
      <x:c r="AH485" s="26"/>
      <x:c r="AI485" s="26"/>
      <x:c r="AJ485" s="26"/>
      <x:c r="AK485" s="26"/>
      <x:c r="AL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  <x:c r="AA486" s="26"/>
      <x:c r="AB486" s="26"/>
      <x:c r="AC486" s="26"/>
      <x:c r="AD486" s="26"/>
      <x:c r="AE486" s="26"/>
      <x:c r="AF486" s="26"/>
      <x:c r="AG486" s="26"/>
      <x:c r="AH486" s="26"/>
      <x:c r="AI486" s="26"/>
      <x:c r="AJ486" s="26"/>
      <x:c r="AK486" s="26"/>
      <x:c r="AL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  <x:c r="AA487" s="26"/>
      <x:c r="AB487" s="26"/>
      <x:c r="AC487" s="26"/>
      <x:c r="AD487" s="26"/>
      <x:c r="AE487" s="26"/>
      <x:c r="AF487" s="26"/>
      <x:c r="AG487" s="26"/>
      <x:c r="AH487" s="26"/>
      <x:c r="AI487" s="26"/>
      <x:c r="AJ487" s="26"/>
      <x:c r="AK487" s="26"/>
      <x:c r="AL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  <x:c r="AA488" s="26"/>
      <x:c r="AB488" s="26"/>
      <x:c r="AC488" s="26"/>
      <x:c r="AD488" s="26"/>
      <x:c r="AE488" s="26"/>
      <x:c r="AF488" s="26"/>
      <x:c r="AG488" s="26"/>
      <x:c r="AH488" s="26"/>
      <x:c r="AI488" s="26"/>
      <x:c r="AJ488" s="26"/>
      <x:c r="AK488" s="26"/>
      <x:c r="AL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  <x:c r="AA489" s="26"/>
      <x:c r="AB489" s="26"/>
      <x:c r="AC489" s="26"/>
      <x:c r="AD489" s="26"/>
      <x:c r="AE489" s="26"/>
      <x:c r="AF489" s="26"/>
      <x:c r="AG489" s="26"/>
      <x:c r="AH489" s="26"/>
      <x:c r="AI489" s="26"/>
      <x:c r="AJ489" s="26"/>
      <x:c r="AK489" s="26"/>
      <x:c r="AL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  <x:c r="AA490" s="26"/>
      <x:c r="AB490" s="26"/>
      <x:c r="AC490" s="26"/>
      <x:c r="AD490" s="26"/>
      <x:c r="AE490" s="26"/>
      <x:c r="AF490" s="26"/>
      <x:c r="AG490" s="26"/>
      <x:c r="AH490" s="26"/>
      <x:c r="AI490" s="26"/>
      <x:c r="AJ490" s="26"/>
      <x:c r="AK490" s="26"/>
      <x:c r="AL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  <x:c r="AA491" s="26"/>
      <x:c r="AB491" s="26"/>
      <x:c r="AC491" s="26"/>
      <x:c r="AD491" s="26"/>
      <x:c r="AE491" s="26"/>
      <x:c r="AF491" s="26"/>
      <x:c r="AG491" s="26"/>
      <x:c r="AH491" s="26"/>
      <x:c r="AI491" s="26"/>
      <x:c r="AJ491" s="26"/>
      <x:c r="AK491" s="26"/>
      <x:c r="AL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  <x:c r="AA492" s="26"/>
      <x:c r="AB492" s="26"/>
      <x:c r="AC492" s="26"/>
      <x:c r="AD492" s="26"/>
      <x:c r="AE492" s="26"/>
      <x:c r="AF492" s="26"/>
      <x:c r="AG492" s="26"/>
      <x:c r="AH492" s="26"/>
      <x:c r="AI492" s="26"/>
      <x:c r="AJ492" s="26"/>
      <x:c r="AK492" s="26"/>
      <x:c r="AL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  <x:c r="AA493" s="26"/>
      <x:c r="AB493" s="26"/>
      <x:c r="AC493" s="26"/>
      <x:c r="AD493" s="26"/>
      <x:c r="AE493" s="26"/>
      <x:c r="AF493" s="26"/>
      <x:c r="AG493" s="26"/>
      <x:c r="AH493" s="26"/>
      <x:c r="AI493" s="26"/>
      <x:c r="AJ493" s="26"/>
      <x:c r="AK493" s="26"/>
      <x:c r="AL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  <x:c r="AA494" s="26"/>
      <x:c r="AB494" s="26"/>
      <x:c r="AC494" s="26"/>
      <x:c r="AD494" s="26"/>
      <x:c r="AE494" s="26"/>
      <x:c r="AF494" s="26"/>
      <x:c r="AG494" s="26"/>
      <x:c r="AH494" s="26"/>
      <x:c r="AI494" s="26"/>
      <x:c r="AJ494" s="26"/>
      <x:c r="AK494" s="26"/>
      <x:c r="AL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  <x:c r="AA495" s="26"/>
      <x:c r="AB495" s="26"/>
      <x:c r="AC495" s="26"/>
      <x:c r="AD495" s="26"/>
      <x:c r="AE495" s="26"/>
      <x:c r="AF495" s="26"/>
      <x:c r="AG495" s="26"/>
      <x:c r="AH495" s="26"/>
      <x:c r="AI495" s="26"/>
      <x:c r="AJ495" s="26"/>
      <x:c r="AK495" s="26"/>
      <x:c r="AL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  <x:c r="AA496" s="26"/>
      <x:c r="AB496" s="26"/>
      <x:c r="AC496" s="26"/>
      <x:c r="AD496" s="26"/>
      <x:c r="AE496" s="26"/>
      <x:c r="AF496" s="26"/>
      <x:c r="AG496" s="26"/>
      <x:c r="AH496" s="26"/>
      <x:c r="AI496" s="26"/>
      <x:c r="AJ496" s="26"/>
      <x:c r="AK496" s="26"/>
      <x:c r="AL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  <x:c r="AA497" s="26"/>
      <x:c r="AB497" s="26"/>
      <x:c r="AC497" s="26"/>
      <x:c r="AD497" s="26"/>
      <x:c r="AE497" s="26"/>
      <x:c r="AF497" s="26"/>
      <x:c r="AG497" s="26"/>
      <x:c r="AH497" s="26"/>
      <x:c r="AI497" s="26"/>
      <x:c r="AJ497" s="26"/>
      <x:c r="AK497" s="26"/>
      <x:c r="AL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  <x:c r="AA498" s="26"/>
      <x:c r="AB498" s="26"/>
      <x:c r="AC498" s="26"/>
      <x:c r="AD498" s="26"/>
      <x:c r="AE498" s="26"/>
      <x:c r="AF498" s="26"/>
      <x:c r="AG498" s="26"/>
      <x:c r="AH498" s="26"/>
      <x:c r="AI498" s="26"/>
      <x:c r="AJ498" s="26"/>
      <x:c r="AK498" s="26"/>
      <x:c r="AL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  <x:c r="AA499" s="26"/>
      <x:c r="AB499" s="26"/>
      <x:c r="AC499" s="26"/>
      <x:c r="AD499" s="26"/>
      <x:c r="AE499" s="26"/>
      <x:c r="AF499" s="26"/>
      <x:c r="AG499" s="26"/>
      <x:c r="AH499" s="26"/>
      <x:c r="AI499" s="26"/>
      <x:c r="AJ499" s="26"/>
      <x:c r="AK499" s="26"/>
      <x:c r="AL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  <x:c r="AA500" s="26"/>
      <x:c r="AB500" s="26"/>
      <x:c r="AC500" s="26"/>
      <x:c r="AD500" s="26"/>
      <x:c r="AE500" s="26"/>
      <x:c r="AF500" s="26"/>
      <x:c r="AG500" s="26"/>
      <x:c r="AH500" s="26"/>
      <x:c r="AI500" s="26"/>
      <x:c r="AJ500" s="26"/>
      <x:c r="AK500" s="26"/>
      <x:c r="AL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  <x:c r="R501" s="26"/>
      <x:c r="S501" s="26"/>
      <x:c r="T501" s="26"/>
      <x:c r="U501" s="26"/>
      <x:c r="V501" s="26"/>
      <x:c r="W501" s="26"/>
      <x:c r="X501" s="26"/>
      <x:c r="Y501" s="26"/>
      <x:c r="Z501" s="26"/>
      <x:c r="AA501" s="26"/>
      <x:c r="AB501" s="26"/>
      <x:c r="AC501" s="26"/>
      <x:c r="AD501" s="26"/>
      <x:c r="AE501" s="26"/>
      <x:c r="AF501" s="26"/>
      <x:c r="AG501" s="26"/>
      <x:c r="AH501" s="26"/>
      <x:c r="AI501" s="26"/>
      <x:c r="AJ501" s="26"/>
      <x:c r="AK501" s="26"/>
      <x:c r="AL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  <x:c r="R502" s="26"/>
      <x:c r="S502" s="26"/>
      <x:c r="T502" s="26"/>
      <x:c r="U502" s="26"/>
      <x:c r="V502" s="26"/>
      <x:c r="W502" s="26"/>
      <x:c r="X502" s="26"/>
      <x:c r="Y502" s="26"/>
      <x:c r="Z502" s="26"/>
      <x:c r="AA502" s="26"/>
      <x:c r="AB502" s="26"/>
      <x:c r="AC502" s="26"/>
      <x:c r="AD502" s="26"/>
      <x:c r="AE502" s="26"/>
      <x:c r="AF502" s="26"/>
      <x:c r="AG502" s="26"/>
      <x:c r="AH502" s="26"/>
      <x:c r="AI502" s="26"/>
      <x:c r="AJ502" s="26"/>
      <x:c r="AK502" s="26"/>
      <x:c r="AL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  <x:c r="R503" s="26"/>
      <x:c r="S503" s="26"/>
      <x:c r="T503" s="26"/>
      <x:c r="U503" s="26"/>
      <x:c r="V503" s="26"/>
      <x:c r="W503" s="26"/>
      <x:c r="X503" s="26"/>
      <x:c r="Y503" s="26"/>
      <x:c r="Z503" s="26"/>
      <x:c r="AA503" s="26"/>
      <x:c r="AB503" s="26"/>
      <x:c r="AC503" s="26"/>
      <x:c r="AD503" s="26"/>
      <x:c r="AE503" s="26"/>
      <x:c r="AF503" s="26"/>
      <x:c r="AG503" s="26"/>
      <x:c r="AH503" s="26"/>
      <x:c r="AI503" s="26"/>
      <x:c r="AJ503" s="26"/>
      <x:c r="AK503" s="26"/>
      <x:c r="AL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  <x:c r="R504" s="26"/>
      <x:c r="S504" s="26"/>
      <x:c r="T504" s="26"/>
      <x:c r="U504" s="26"/>
      <x:c r="V504" s="26"/>
      <x:c r="W504" s="26"/>
      <x:c r="X504" s="26"/>
      <x:c r="Y504" s="26"/>
      <x:c r="Z504" s="26"/>
      <x:c r="AA504" s="26"/>
      <x:c r="AB504" s="26"/>
      <x:c r="AC504" s="26"/>
      <x:c r="AD504" s="26"/>
      <x:c r="AE504" s="26"/>
      <x:c r="AF504" s="26"/>
      <x:c r="AG504" s="26"/>
      <x:c r="AH504" s="26"/>
      <x:c r="AI504" s="26"/>
      <x:c r="AJ504" s="26"/>
      <x:c r="AK504" s="26"/>
      <x:c r="AL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  <x:c r="R505" s="26"/>
      <x:c r="S505" s="26"/>
      <x:c r="T505" s="26"/>
      <x:c r="U505" s="26"/>
      <x:c r="V505" s="26"/>
      <x:c r="W505" s="26"/>
      <x:c r="X505" s="26"/>
      <x:c r="Y505" s="26"/>
      <x:c r="Z505" s="26"/>
      <x:c r="AA505" s="26"/>
      <x:c r="AB505" s="26"/>
      <x:c r="AC505" s="26"/>
      <x:c r="AD505" s="26"/>
      <x:c r="AE505" s="26"/>
      <x:c r="AF505" s="26"/>
      <x:c r="AG505" s="26"/>
      <x:c r="AH505" s="26"/>
      <x:c r="AI505" s="26"/>
      <x:c r="AJ505" s="26"/>
      <x:c r="AK505" s="26"/>
      <x:c r="AL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  <x:c r="R506" s="26"/>
      <x:c r="S506" s="26"/>
      <x:c r="T506" s="26"/>
      <x:c r="U506" s="26"/>
      <x:c r="V506" s="26"/>
      <x:c r="W506" s="26"/>
      <x:c r="X506" s="26"/>
      <x:c r="Y506" s="26"/>
      <x:c r="Z506" s="26"/>
      <x:c r="AA506" s="26"/>
      <x:c r="AB506" s="26"/>
      <x:c r="AC506" s="26"/>
      <x:c r="AD506" s="26"/>
      <x:c r="AE506" s="26"/>
      <x:c r="AF506" s="26"/>
      <x:c r="AG506" s="26"/>
      <x:c r="AH506" s="26"/>
      <x:c r="AI506" s="26"/>
      <x:c r="AJ506" s="26"/>
      <x:c r="AK506" s="26"/>
      <x:c r="AL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  <x:c r="R507" s="26"/>
      <x:c r="S507" s="26"/>
      <x:c r="T507" s="26"/>
      <x:c r="U507" s="26"/>
      <x:c r="V507" s="26"/>
      <x:c r="W507" s="26"/>
      <x:c r="X507" s="26"/>
      <x:c r="Y507" s="26"/>
      <x:c r="Z507" s="26"/>
      <x:c r="AA507" s="26"/>
      <x:c r="AB507" s="26"/>
      <x:c r="AC507" s="26"/>
      <x:c r="AD507" s="26"/>
      <x:c r="AE507" s="26"/>
      <x:c r="AF507" s="26"/>
      <x:c r="AG507" s="26"/>
      <x:c r="AH507" s="26"/>
      <x:c r="AI507" s="26"/>
      <x:c r="AJ507" s="26"/>
      <x:c r="AK507" s="26"/>
      <x:c r="AL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  <x:c r="R508" s="26"/>
      <x:c r="S508" s="26"/>
      <x:c r="T508" s="26"/>
      <x:c r="U508" s="26"/>
      <x:c r="V508" s="26"/>
      <x:c r="W508" s="26"/>
      <x:c r="X508" s="26"/>
      <x:c r="Y508" s="26"/>
      <x:c r="Z508" s="26"/>
      <x:c r="AA508" s="26"/>
      <x:c r="AB508" s="26"/>
      <x:c r="AC508" s="26"/>
      <x:c r="AD508" s="26"/>
      <x:c r="AE508" s="26"/>
      <x:c r="AF508" s="26"/>
      <x:c r="AG508" s="26"/>
      <x:c r="AH508" s="26"/>
      <x:c r="AI508" s="26"/>
      <x:c r="AJ508" s="26"/>
      <x:c r="AK508" s="26"/>
      <x:c r="AL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  <x:c r="R509" s="26"/>
      <x:c r="S509" s="26"/>
      <x:c r="T509" s="26"/>
      <x:c r="U509" s="26"/>
      <x:c r="V509" s="26"/>
      <x:c r="W509" s="26"/>
      <x:c r="X509" s="26"/>
      <x:c r="Y509" s="26"/>
      <x:c r="Z509" s="26"/>
      <x:c r="AA509" s="26"/>
      <x:c r="AB509" s="26"/>
      <x:c r="AC509" s="26"/>
      <x:c r="AD509" s="26"/>
      <x:c r="AE509" s="26"/>
      <x:c r="AF509" s="26"/>
      <x:c r="AG509" s="26"/>
      <x:c r="AH509" s="26"/>
      <x:c r="AI509" s="26"/>
      <x:c r="AJ509" s="26"/>
      <x:c r="AK509" s="26"/>
      <x:c r="AL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  <x:c r="R510" s="26"/>
      <x:c r="S510" s="26"/>
      <x:c r="T510" s="26"/>
      <x:c r="U510" s="26"/>
      <x:c r="V510" s="26"/>
      <x:c r="W510" s="26"/>
      <x:c r="X510" s="26"/>
      <x:c r="Y510" s="26"/>
      <x:c r="Z510" s="26"/>
      <x:c r="AA510" s="26"/>
      <x:c r="AB510" s="26"/>
      <x:c r="AC510" s="26"/>
      <x:c r="AD510" s="26"/>
      <x:c r="AE510" s="26"/>
      <x:c r="AF510" s="26"/>
      <x:c r="AG510" s="26"/>
      <x:c r="AH510" s="26"/>
      <x:c r="AI510" s="26"/>
      <x:c r="AJ510" s="26"/>
      <x:c r="AK510" s="26"/>
      <x:c r="AL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  <x:c r="R511" s="26"/>
      <x:c r="S511" s="26"/>
      <x:c r="T511" s="26"/>
      <x:c r="U511" s="26"/>
      <x:c r="V511" s="26"/>
      <x:c r="W511" s="26"/>
      <x:c r="X511" s="26"/>
      <x:c r="Y511" s="26"/>
      <x:c r="Z511" s="26"/>
      <x:c r="AA511" s="26"/>
      <x:c r="AB511" s="26"/>
      <x:c r="AC511" s="26"/>
      <x:c r="AD511" s="26"/>
      <x:c r="AE511" s="26"/>
      <x:c r="AF511" s="26"/>
      <x:c r="AG511" s="26"/>
      <x:c r="AH511" s="26"/>
      <x:c r="AI511" s="26"/>
      <x:c r="AJ511" s="26"/>
      <x:c r="AK511" s="26"/>
      <x:c r="AL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  <x:c r="R512" s="26"/>
      <x:c r="S512" s="26"/>
      <x:c r="T512" s="26"/>
      <x:c r="U512" s="26"/>
      <x:c r="V512" s="26"/>
      <x:c r="W512" s="26"/>
      <x:c r="X512" s="26"/>
      <x:c r="Y512" s="26"/>
      <x:c r="Z512" s="26"/>
      <x:c r="AA512" s="26"/>
      <x:c r="AB512" s="26"/>
      <x:c r="AC512" s="26"/>
      <x:c r="AD512" s="26"/>
      <x:c r="AE512" s="26"/>
      <x:c r="AF512" s="26"/>
      <x:c r="AG512" s="26"/>
      <x:c r="AH512" s="26"/>
      <x:c r="AI512" s="26"/>
      <x:c r="AJ512" s="26"/>
      <x:c r="AK512" s="26"/>
      <x:c r="AL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  <x:c r="R513" s="26"/>
      <x:c r="S513" s="26"/>
      <x:c r="T513" s="26"/>
      <x:c r="U513" s="26"/>
      <x:c r="V513" s="26"/>
      <x:c r="W513" s="26"/>
      <x:c r="X513" s="26"/>
      <x:c r="Y513" s="26"/>
      <x:c r="Z513" s="26"/>
      <x:c r="AA513" s="26"/>
      <x:c r="AB513" s="26"/>
      <x:c r="AC513" s="26"/>
      <x:c r="AD513" s="26"/>
      <x:c r="AE513" s="26"/>
      <x:c r="AF513" s="26"/>
      <x:c r="AG513" s="26"/>
      <x:c r="AH513" s="26"/>
      <x:c r="AI513" s="26"/>
      <x:c r="AJ513" s="26"/>
      <x:c r="AK513" s="26"/>
      <x:c r="AL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  <x:c r="R514" s="26"/>
      <x:c r="S514" s="26"/>
      <x:c r="T514" s="26"/>
      <x:c r="U514" s="26"/>
      <x:c r="V514" s="26"/>
      <x:c r="W514" s="26"/>
      <x:c r="X514" s="26"/>
      <x:c r="Y514" s="26"/>
      <x:c r="Z514" s="26"/>
      <x:c r="AA514" s="26"/>
      <x:c r="AB514" s="26"/>
      <x:c r="AC514" s="26"/>
      <x:c r="AD514" s="26"/>
      <x:c r="AE514" s="26"/>
      <x:c r="AF514" s="26"/>
      <x:c r="AG514" s="26"/>
      <x:c r="AH514" s="26"/>
      <x:c r="AI514" s="26"/>
      <x:c r="AJ514" s="26"/>
      <x:c r="AK514" s="26"/>
      <x:c r="AL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  <x:c r="R515" s="26"/>
      <x:c r="S515" s="26"/>
      <x:c r="T515" s="26"/>
      <x:c r="U515" s="26"/>
      <x:c r="V515" s="26"/>
      <x:c r="W515" s="26"/>
      <x:c r="X515" s="26"/>
      <x:c r="Y515" s="26"/>
      <x:c r="Z515" s="26"/>
      <x:c r="AA515" s="26"/>
      <x:c r="AB515" s="26"/>
      <x:c r="AC515" s="26"/>
      <x:c r="AD515" s="26"/>
      <x:c r="AE515" s="26"/>
      <x:c r="AF515" s="26"/>
      <x:c r="AG515" s="26"/>
      <x:c r="AH515" s="26"/>
      <x:c r="AI515" s="26"/>
      <x:c r="AJ515" s="26"/>
      <x:c r="AK515" s="26"/>
      <x:c r="AL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  <x:c r="R516" s="26"/>
      <x:c r="S516" s="26"/>
      <x:c r="T516" s="26"/>
      <x:c r="U516" s="26"/>
      <x:c r="V516" s="26"/>
      <x:c r="W516" s="26"/>
      <x:c r="X516" s="26"/>
      <x:c r="Y516" s="26"/>
      <x:c r="Z516" s="26"/>
      <x:c r="AA516" s="26"/>
      <x:c r="AB516" s="26"/>
      <x:c r="AC516" s="26"/>
      <x:c r="AD516" s="26"/>
      <x:c r="AE516" s="26"/>
      <x:c r="AF516" s="26"/>
      <x:c r="AG516" s="26"/>
      <x:c r="AH516" s="26"/>
      <x:c r="AI516" s="26"/>
      <x:c r="AJ516" s="26"/>
      <x:c r="AK516" s="26"/>
      <x:c r="AL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  <x:c r="R517" s="26"/>
      <x:c r="S517" s="26"/>
      <x:c r="T517" s="26"/>
      <x:c r="U517" s="26"/>
      <x:c r="V517" s="26"/>
      <x:c r="W517" s="26"/>
      <x:c r="X517" s="26"/>
      <x:c r="Y517" s="26"/>
      <x:c r="Z517" s="26"/>
      <x:c r="AA517" s="26"/>
      <x:c r="AB517" s="26"/>
      <x:c r="AC517" s="26"/>
      <x:c r="AD517" s="26"/>
      <x:c r="AE517" s="26"/>
      <x:c r="AF517" s="26"/>
      <x:c r="AG517" s="26"/>
      <x:c r="AH517" s="26"/>
      <x:c r="AI517" s="26"/>
      <x:c r="AJ517" s="26"/>
      <x:c r="AK517" s="26"/>
      <x:c r="AL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  <x:c r="R518" s="26"/>
      <x:c r="S518" s="26"/>
      <x:c r="T518" s="26"/>
      <x:c r="U518" s="26"/>
      <x:c r="V518" s="26"/>
      <x:c r="W518" s="26"/>
      <x:c r="X518" s="26"/>
      <x:c r="Y518" s="26"/>
      <x:c r="Z518" s="26"/>
      <x:c r="AA518" s="26"/>
      <x:c r="AB518" s="26"/>
      <x:c r="AC518" s="26"/>
      <x:c r="AD518" s="26"/>
      <x:c r="AE518" s="26"/>
      <x:c r="AF518" s="26"/>
      <x:c r="AG518" s="26"/>
      <x:c r="AH518" s="26"/>
      <x:c r="AI518" s="26"/>
      <x:c r="AJ518" s="26"/>
      <x:c r="AK518" s="26"/>
      <x:c r="AL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  <x:c r="R519" s="26"/>
      <x:c r="S519" s="26"/>
      <x:c r="T519" s="26"/>
      <x:c r="U519" s="26"/>
      <x:c r="V519" s="26"/>
      <x:c r="W519" s="26"/>
      <x:c r="X519" s="26"/>
      <x:c r="Y519" s="26"/>
      <x:c r="Z519" s="26"/>
      <x:c r="AA519" s="26"/>
      <x:c r="AB519" s="26"/>
      <x:c r="AC519" s="26"/>
      <x:c r="AD519" s="26"/>
      <x:c r="AE519" s="26"/>
      <x:c r="AF519" s="26"/>
      <x:c r="AG519" s="26"/>
      <x:c r="AH519" s="26"/>
      <x:c r="AI519" s="26"/>
      <x:c r="AJ519" s="26"/>
      <x:c r="AK519" s="26"/>
      <x:c r="AL519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3" t="str">
        <x:v>Column 1</x:v>
      </x:c>
      <x:c r="B1" s="23" t="str">
        <x:v>Tên QA</x:v>
      </x:c>
      <x:c r="C1" s="23" t="str">
        <x:v>Tên CSO</x:v>
      </x:c>
      <x:c r="D1" s="23" t="str">
        <x:v>Số extension</x:v>
      </x:c>
      <x:c r="E1" s="23" t="str">
        <x:v>Ngày chấm </x:v>
      </x:c>
      <x:c r="F1" s="23" t="str">
        <x:v>ID Call</x:v>
      </x:c>
      <x:c r="G1" s="23" t="str">
        <x:v>Thời lượng</x:v>
      </x:c>
      <x:c r="H1" s="23" t="str">
        <x:v>Thời điểm</x:v>
      </x:c>
      <x:c r="I1" s="23" t="str">
        <x:v>Số CMND/CCCD</x:v>
      </x:c>
      <x:c r="J1" s="23" t="str">
        <x:v>Số HĐ</x:v>
      </x:c>
      <x:c r="K1" s="23" t="str">
        <x:v>Số điện thoại</x:v>
      </x:c>
      <x:c r="L1" s="23" t="str">
        <x:v>Nội dung cuộc gọi</x:v>
      </x:c>
      <x:c r="M1" s="23" t="str">
        <x:v>Chào KH</x:v>
      </x:c>
      <x:c r="N1" s="23" t="str">
        <x:v>Hỏi và gọi tên KH</x:v>
      </x:c>
      <x:c r="O1" s="23" t="str">
        <x:v>Âm lượng</x:v>
      </x:c>
      <x:c r="P1" s="23" t="str">
        <x:v>Phát âm</x:v>
      </x:c>
      <x:c r="Q1" s="23" t="str">
        <x:v>Tốc độ giao tiếp</x:v>
      </x:c>
      <x:c r="R1" s="23" t="str">
        <x:v>Ngôn ngữ phổ thông, dễ hiểu</x:v>
      </x:c>
      <x:c r="S1" s="23" t="str">
        <x:v>Dùng từ "vui lòng" hợp lý</x:v>
      </x:c>
      <x:c r="T1" s="23" t="str">
        <x:v>Ngôn từ chuẩn mực, biết cách nói "không" với KH</x:v>
      </x:c>
      <x:c r="U1" s="23" t="str">
        <x:v>Lắng nghe</x:v>
      </x:c>
      <x:c r="V1" s="23" t="str">
        <x:v>Lịch sự, chuyên nghiệp</x:v>
      </x:c>
      <x:c r="W1" s="23" t="str">
        <x:v>Thái độ</x:v>
      </x:c>
      <x:c r="X1" s="23" t="str">
        <x:v>Thấu cảm</x:v>
      </x:c>
      <x:c r="Y1" s="23" t="str">
        <x:v>Xin lỗi KH khi cần thiết</x:v>
      </x:c>
      <x:c r="Z1" s="23" t="str">
        <x:v>Cảm ơn KH khi cần thiết</x:v>
      </x:c>
      <x:c r="AA1" s="23" t="str">
        <x:v>Quản lý/ Định hướng cuộc gọi</x:v>
      </x:c>
      <x:c r="AB1" s="23" t="str">
        <x:v>Hiểu yêu cầu cần hỗ trợ của KH</x:v>
      </x:c>
      <x:c r="AC1" s="23" t="str">
        <x:v>Xác minh KH</x:v>
      </x:c>
      <x:c r="AD1" s="23" t="str">
        <x:v>Kiến thức nghiệp vụ</x:v>
      </x:c>
      <x:c r="AE1" s="23" t="str">
        <x:v>Trả lời nhanh chóng</x:v>
      </x:c>
      <x:c r="AF1" s="23" t="str">
        <x:v>Hỗ trợ chủ động và hợp lý</x:v>
      </x:c>
      <x:c r="AG1" s="23" t="str">
        <x:v>Cung cấp giải pháp tối ưu cho KH</x:v>
      </x:c>
      <x:c r="AH1" s="23" t="str">
        <x:v>Hỏi KH có cần hỗ trợ thông tin gì khác không</x:v>
      </x:c>
      <x:c r="AI1" s="23" t="str">
        <x:v>Nếu cần hỗ trợ, gọi lại vào số tổng đài</x:v>
      </x:c>
      <x:c r="AJ1" s="23" t="str">
        <x:v>Cảm ơn và chào KH</x:v>
      </x:c>
      <x:c r="AK1" s="23" t="str">
        <x:v>Điểm mạnh</x:v>
      </x:c>
      <x:c r="AL1" s="23" t="str">
        <x:v>Điểm cần cải thiện</x:v>
      </x:c>
      <x:c r="AM1" s="23" t="str">
        <x:v>Column 39</x:v>
      </x:c>
      <x:c r="AN1" s="23" t="str">
        <x:v>Column 40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 s="26"/>
      <x:c r="AK2" s="26"/>
      <x:c r="AL2" s="26"/>
      <x:c r="AM2" s="26"/>
      <x:c r="AN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  <x:c r="AL3" s="26"/>
      <x:c r="AM3" s="26"/>
      <x:c r="AN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  <x:c r="AM4" s="26"/>
      <x:c r="AN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  <x:c r="AA5" s="26"/>
      <x:c r="AB5" s="26"/>
      <x:c r="AC5" s="26"/>
      <x:c r="AD5" s="26"/>
      <x:c r="AE5" s="26"/>
      <x:c r="AF5" s="26"/>
      <x:c r="AG5" s="26"/>
      <x:c r="AH5" s="26"/>
      <x:c r="AI5" s="26"/>
      <x:c r="AJ5" s="26"/>
      <x:c r="AK5" s="26"/>
      <x:c r="AL5" s="26"/>
      <x:c r="AM5" s="26"/>
      <x:c r="AN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26"/>
      <x:c r="AK6" s="26"/>
      <x:c r="AL6" s="26"/>
      <x:c r="AM6" s="26"/>
      <x:c r="AN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  <x:c r="AA7" s="26"/>
      <x:c r="AB7" s="26"/>
      <x:c r="AC7" s="26"/>
      <x:c r="AD7" s="26"/>
      <x:c r="AE7" s="26"/>
      <x:c r="AF7" s="26"/>
      <x:c r="AG7" s="26"/>
      <x:c r="AH7" s="26"/>
      <x:c r="AI7" s="26"/>
      <x:c r="AJ7" s="26"/>
      <x:c r="AK7" s="26"/>
      <x:c r="AL7" s="26"/>
      <x:c r="AM7" s="26"/>
      <x:c r="AN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  <x:c r="AA8" s="26"/>
      <x:c r="AB8" s="26"/>
      <x:c r="AC8" s="26"/>
      <x:c r="AD8" s="26"/>
      <x:c r="AE8" s="26"/>
      <x:c r="AF8" s="26"/>
      <x:c r="AG8" s="26"/>
      <x:c r="AH8" s="26"/>
      <x:c r="AI8" s="26"/>
      <x:c r="AJ8" s="26"/>
      <x:c r="AK8" s="26"/>
      <x:c r="AL8" s="26"/>
      <x:c r="AM8" s="26"/>
      <x:c r="AN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  <x:c r="AF9" s="26"/>
      <x:c r="AG9" s="26"/>
      <x:c r="AH9" s="26"/>
      <x:c r="AI9" s="26"/>
      <x:c r="AJ9" s="26"/>
      <x:c r="AK9" s="26"/>
      <x:c r="AL9" s="26"/>
      <x:c r="AM9" s="26"/>
      <x:c r="AN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  <x:c r="AA10" s="26"/>
      <x:c r="AB10" s="26"/>
      <x:c r="AC10" s="26"/>
      <x:c r="AD10" s="26"/>
      <x:c r="AE10" s="26"/>
      <x:c r="AF10" s="26"/>
      <x:c r="AG10" s="26"/>
      <x:c r="AH10" s="26"/>
      <x:c r="AI10" s="26"/>
      <x:c r="AJ10" s="26"/>
      <x:c r="AK10" s="26"/>
      <x:c r="AL10" s="26"/>
      <x:c r="AM10" s="26"/>
      <x:c r="AN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  <x:c r="AA11" s="26"/>
      <x:c r="AB11" s="26"/>
      <x:c r="AC11" s="26"/>
      <x:c r="AD11" s="26"/>
      <x:c r="AE11" s="26"/>
      <x:c r="AF11" s="26"/>
      <x:c r="AG11" s="26"/>
      <x:c r="AH11" s="26"/>
      <x:c r="AI11" s="26"/>
      <x:c r="AJ11" s="26"/>
      <x:c r="AK11" s="26"/>
      <x:c r="AL11" s="26"/>
      <x:c r="AM11" s="26"/>
      <x:c r="AN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  <x:c r="AA12" s="26"/>
      <x:c r="AB12" s="26"/>
      <x:c r="AC12" s="26"/>
      <x:c r="AD12" s="26"/>
      <x:c r="AE12" s="26"/>
      <x:c r="AF12" s="26"/>
      <x:c r="AG12" s="26"/>
      <x:c r="AH12" s="26"/>
      <x:c r="AI12" s="26"/>
      <x:c r="AJ12" s="26"/>
      <x:c r="AK12" s="26"/>
      <x:c r="AL12" s="26"/>
      <x:c r="AM12" s="26"/>
      <x:c r="AN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  <x:c r="AA13" s="26"/>
      <x:c r="AB13" s="26"/>
      <x:c r="AC13" s="26"/>
      <x:c r="AD13" s="26"/>
      <x:c r="AE13" s="26"/>
      <x:c r="AF13" s="26"/>
      <x:c r="AG13" s="26"/>
      <x:c r="AH13" s="26"/>
      <x:c r="AI13" s="26"/>
      <x:c r="AJ13" s="26"/>
      <x:c r="AK13" s="26"/>
      <x:c r="AL13" s="26"/>
      <x:c r="AM13" s="26"/>
      <x:c r="AN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  <x:c r="AA14" s="26"/>
      <x:c r="AB14" s="26"/>
      <x:c r="AC14" s="26"/>
      <x:c r="AD14" s="26"/>
      <x:c r="AE14" s="26"/>
      <x:c r="AF14" s="26"/>
      <x:c r="AG14" s="26"/>
      <x:c r="AH14" s="26"/>
      <x:c r="AI14" s="26"/>
      <x:c r="AJ14" s="26"/>
      <x:c r="AK14" s="26"/>
      <x:c r="AL14" s="26"/>
      <x:c r="AM14" s="26"/>
      <x:c r="A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6"/>
      <x:c r="AK15" s="26"/>
      <x:c r="AL15" s="26"/>
      <x:c r="AM15" s="26"/>
      <x:c r="A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  <x:c r="AA16" s="26"/>
      <x:c r="AB16" s="26"/>
      <x:c r="AC16" s="26"/>
      <x:c r="AD16" s="26"/>
      <x:c r="AE16" s="26"/>
      <x:c r="AF16" s="26"/>
      <x:c r="AG16" s="26"/>
      <x:c r="AH16" s="26"/>
      <x:c r="AI16" s="26"/>
      <x:c r="AJ16" s="26"/>
      <x:c r="AK16" s="26"/>
      <x:c r="AL16" s="26"/>
      <x:c r="AM16" s="26"/>
      <x:c r="A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/>
      <x:c r="AI17" s="26"/>
      <x:c r="AJ17" s="26"/>
      <x:c r="AK17" s="26"/>
      <x:c r="AL17" s="26"/>
      <x:c r="AM17" s="26"/>
      <x:c r="A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  <x:c r="AA18" s="26"/>
      <x:c r="AB18" s="26"/>
      <x:c r="AC18" s="26"/>
      <x:c r="AD18" s="26"/>
      <x:c r="AE18" s="26"/>
      <x:c r="AF18" s="26"/>
      <x:c r="AG18" s="26"/>
      <x:c r="AH18" s="26"/>
      <x:c r="AI18" s="26"/>
      <x:c r="AJ18" s="26"/>
      <x:c r="AK18" s="26"/>
      <x:c r="AL18" s="26"/>
      <x:c r="AM18" s="26"/>
      <x:c r="A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/>
      <x:c r="AH19" s="26"/>
      <x:c r="AI19" s="26"/>
      <x:c r="AJ19" s="26"/>
      <x:c r="AK19" s="26"/>
      <x:c r="AL19" s="26"/>
      <x:c r="AM19" s="26"/>
      <x:c r="A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  <x:c r="AA20" s="26"/>
      <x:c r="AB20" s="26"/>
      <x:c r="AC20" s="26"/>
      <x:c r="AD20" s="26"/>
      <x:c r="AE20" s="26"/>
      <x:c r="AF20" s="26"/>
      <x:c r="AG20" s="26"/>
      <x:c r="AH20" s="26"/>
      <x:c r="AI20" s="26"/>
      <x:c r="AJ20" s="26"/>
      <x:c r="AK20" s="26"/>
      <x:c r="AL20" s="26"/>
      <x:c r="AM20" s="26"/>
      <x:c r="A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  <x:c r="AA21" s="26"/>
      <x:c r="AB21" s="26"/>
      <x:c r="AC21" s="26"/>
      <x:c r="AD21" s="26"/>
      <x:c r="AE21" s="26"/>
      <x:c r="AF21" s="26"/>
      <x:c r="AG21" s="26"/>
      <x:c r="AH21" s="26"/>
      <x:c r="AI21" s="26"/>
      <x:c r="AJ21" s="26"/>
      <x:c r="AK21" s="26"/>
      <x:c r="AL21" s="26"/>
      <x:c r="AM21" s="26"/>
      <x:c r="A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  <x:c r="AA22" s="26"/>
      <x:c r="AB22" s="26"/>
      <x:c r="AC22" s="26"/>
      <x:c r="AD22" s="26"/>
      <x:c r="AE22" s="26"/>
      <x:c r="AF22" s="26"/>
      <x:c r="AG22" s="26"/>
      <x:c r="AH22" s="26"/>
      <x:c r="AI22" s="26"/>
      <x:c r="AJ22" s="26"/>
      <x:c r="AK22" s="26"/>
      <x:c r="AL22" s="26"/>
      <x:c r="AM22" s="26"/>
      <x:c r="A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  <x:c r="AD23" s="26"/>
      <x:c r="AE23" s="26"/>
      <x:c r="AF23" s="26"/>
      <x:c r="AG23" s="26"/>
      <x:c r="AH23" s="26"/>
      <x:c r="AI23" s="26"/>
      <x:c r="AJ23" s="26"/>
      <x:c r="AK23" s="26"/>
      <x:c r="AL23" s="26"/>
      <x:c r="AM23" s="26"/>
      <x:c r="A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26"/>
      <x:c r="AM24" s="26"/>
      <x:c r="A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  <x:c r="AF25" s="26"/>
      <x:c r="AG25" s="26"/>
      <x:c r="AH25" s="26"/>
      <x:c r="AI25" s="26"/>
      <x:c r="AJ25" s="26"/>
      <x:c r="AK25" s="26"/>
      <x:c r="AL25" s="26"/>
      <x:c r="AM25" s="26"/>
      <x:c r="A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  <x:c r="AA26" s="26"/>
      <x:c r="AB26" s="26"/>
      <x:c r="AC26" s="26"/>
      <x:c r="AD26" s="26"/>
      <x:c r="AE26" s="26"/>
      <x:c r="AF26" s="26"/>
      <x:c r="AG26" s="26"/>
      <x:c r="AH26" s="26"/>
      <x:c r="AI26" s="26"/>
      <x:c r="AJ26" s="26"/>
      <x:c r="AK26" s="26"/>
      <x:c r="AL26" s="26"/>
      <x:c r="AM26" s="26"/>
      <x:c r="A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  <x:c r="AA27" s="26"/>
      <x:c r="AB27" s="26"/>
      <x:c r="AC27" s="26"/>
      <x:c r="AD27" s="26"/>
      <x:c r="AE27" s="26"/>
      <x:c r="AF27" s="26"/>
      <x:c r="AG27" s="26"/>
      <x:c r="AH27" s="26"/>
      <x:c r="AI27" s="26"/>
      <x:c r="AJ27" s="26"/>
      <x:c r="AK27" s="26"/>
      <x:c r="AL27" s="26"/>
      <x:c r="AM27" s="26"/>
      <x:c r="A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  <x:c r="AA28" s="26"/>
      <x:c r="AB28" s="26"/>
      <x:c r="AC28" s="26"/>
      <x:c r="AD28" s="26"/>
      <x:c r="AE28" s="26"/>
      <x:c r="AF28" s="26"/>
      <x:c r="AG28" s="26"/>
      <x:c r="AH28" s="26"/>
      <x:c r="AI28" s="26"/>
      <x:c r="AJ28" s="26"/>
      <x:c r="AK28" s="26"/>
      <x:c r="AL28" s="26"/>
      <x:c r="AM28" s="26"/>
      <x:c r="A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  <x:c r="AA29" s="26"/>
      <x:c r="AB29" s="26"/>
      <x:c r="AC29" s="26"/>
      <x:c r="AD29" s="26"/>
      <x:c r="AE29" s="26"/>
      <x:c r="AF29" s="26"/>
      <x:c r="AG29" s="26"/>
      <x:c r="AH29" s="26"/>
      <x:c r="AI29" s="26"/>
      <x:c r="AJ29" s="26"/>
      <x:c r="AK29" s="26"/>
      <x:c r="AL29" s="26"/>
      <x:c r="AM29" s="26"/>
      <x:c r="A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  <x:c r="AA30" s="26"/>
      <x:c r="AB30" s="26"/>
      <x:c r="AC30" s="26"/>
      <x:c r="AD30" s="26"/>
      <x:c r="AE30" s="26"/>
      <x:c r="AF30" s="26"/>
      <x:c r="AG30" s="26"/>
      <x:c r="AH30" s="26"/>
      <x:c r="AI30" s="26"/>
      <x:c r="AJ30" s="26"/>
      <x:c r="AK30" s="26"/>
      <x:c r="AL30" s="26"/>
      <x:c r="AM30" s="26"/>
      <x:c r="A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  <x:c r="AA31" s="26"/>
      <x:c r="AB31" s="26"/>
      <x:c r="AC31" s="26"/>
      <x:c r="AD31" s="26"/>
      <x:c r="AE31" s="26"/>
      <x:c r="AF31" s="26"/>
      <x:c r="AG31" s="26"/>
      <x:c r="AH31" s="26"/>
      <x:c r="AI31" s="26"/>
      <x:c r="AJ31" s="26"/>
      <x:c r="AK31" s="26"/>
      <x:c r="AL31" s="26"/>
      <x:c r="AM31" s="26"/>
      <x:c r="A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  <x:c r="AC32" s="26"/>
      <x:c r="AD32" s="26"/>
      <x:c r="AE32" s="26"/>
      <x:c r="AF32" s="26"/>
      <x:c r="AG32" s="26"/>
      <x:c r="AH32" s="26"/>
      <x:c r="AI32" s="26"/>
      <x:c r="AJ32" s="26"/>
      <x:c r="AK32" s="26"/>
      <x:c r="AL32" s="26"/>
      <x:c r="AM32" s="26"/>
      <x:c r="A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  <x:c r="AA33" s="26"/>
      <x:c r="AB33" s="26"/>
      <x:c r="AC33" s="26"/>
      <x:c r="AD33" s="26"/>
      <x:c r="AE33" s="26"/>
      <x:c r="AF33" s="26"/>
      <x:c r="AG33" s="26"/>
      <x:c r="AH33" s="26"/>
      <x:c r="AI33" s="26"/>
      <x:c r="AJ33" s="26"/>
      <x:c r="AK33" s="26"/>
      <x:c r="AL33" s="26"/>
      <x:c r="AM33" s="26"/>
      <x:c r="A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  <x:c r="AC34" s="26"/>
      <x:c r="AD34" s="26"/>
      <x:c r="AE34" s="26"/>
      <x:c r="AF34" s="26"/>
      <x:c r="AG34" s="26"/>
      <x:c r="AH34" s="26"/>
      <x:c r="AI34" s="26"/>
      <x:c r="AJ34" s="26"/>
      <x:c r="AK34" s="26"/>
      <x:c r="AL34" s="26"/>
      <x:c r="AM34" s="26"/>
      <x:c r="A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  <x:c r="AA35" s="26"/>
      <x:c r="AB35" s="26"/>
      <x:c r="AC35" s="26"/>
      <x:c r="AD35" s="26"/>
      <x:c r="AE35" s="26"/>
      <x:c r="AF35" s="26"/>
      <x:c r="AG35" s="26"/>
      <x:c r="AH35" s="26"/>
      <x:c r="AI35" s="26"/>
      <x:c r="AJ35" s="26"/>
      <x:c r="AK35" s="26"/>
      <x:c r="AL35" s="26"/>
      <x:c r="AM35" s="26"/>
      <x:c r="A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  <x:c r="AC36" s="26"/>
      <x:c r="AD36" s="26"/>
      <x:c r="AE36" s="26"/>
      <x:c r="AF36" s="26"/>
      <x:c r="AG36" s="26"/>
      <x:c r="AH36" s="26"/>
      <x:c r="AI36" s="26"/>
      <x:c r="AJ36" s="26"/>
      <x:c r="AK36" s="26"/>
      <x:c r="AL36" s="26"/>
      <x:c r="AM36" s="26"/>
      <x:c r="A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6"/>
      <x:c r="AD37" s="26"/>
      <x:c r="AE37" s="26"/>
      <x:c r="AF37" s="26"/>
      <x:c r="AG37" s="26"/>
      <x:c r="AH37" s="26"/>
      <x:c r="AI37" s="26"/>
      <x:c r="AJ37" s="26"/>
      <x:c r="AK37" s="26"/>
      <x:c r="AL37" s="26"/>
      <x:c r="AM37" s="26"/>
      <x:c r="A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  <x:c r="AC38" s="26"/>
      <x:c r="AD38" s="26"/>
      <x:c r="AE38" s="26"/>
      <x:c r="AF38" s="26"/>
      <x:c r="AG38" s="26"/>
      <x:c r="AH38" s="26"/>
      <x:c r="AI38" s="26"/>
      <x:c r="AJ38" s="26"/>
      <x:c r="AK38" s="26"/>
      <x:c r="AL38" s="26"/>
      <x:c r="AM38" s="26"/>
      <x:c r="A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  <x:c r="AC39" s="26"/>
      <x:c r="AD39" s="26"/>
      <x:c r="AE39" s="26"/>
      <x:c r="AF39" s="26"/>
      <x:c r="AG39" s="26"/>
      <x:c r="AH39" s="26"/>
      <x:c r="AI39" s="26"/>
      <x:c r="AJ39" s="26"/>
      <x:c r="AK39" s="26"/>
      <x:c r="AL39" s="26"/>
      <x:c r="AM39" s="26"/>
      <x:c r="A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  <x:c r="AC40" s="26"/>
      <x:c r="AD40" s="26"/>
      <x:c r="AE40" s="26"/>
      <x:c r="AF40" s="26"/>
      <x:c r="AG40" s="26"/>
      <x:c r="AH40" s="26"/>
      <x:c r="AI40" s="26"/>
      <x:c r="AJ40" s="26"/>
      <x:c r="AK40" s="26"/>
      <x:c r="AL40" s="26"/>
      <x:c r="AM40" s="26"/>
      <x:c r="AN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  <x:c r="AG41" s="26"/>
      <x:c r="AH41" s="26"/>
      <x:c r="AI41" s="26"/>
      <x:c r="AJ41" s="26"/>
      <x:c r="AK41" s="26"/>
      <x:c r="AL41" s="26"/>
      <x:c r="AM41" s="26"/>
      <x:c r="AN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  <x:c r="AG42" s="26"/>
      <x:c r="AH42" s="26"/>
      <x:c r="AI42" s="26"/>
      <x:c r="AJ42" s="26"/>
      <x:c r="AK42" s="26"/>
      <x:c r="AL42" s="26"/>
      <x:c r="AM42" s="26"/>
      <x:c r="AN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  <x:c r="AG43" s="26"/>
      <x:c r="AH43" s="26"/>
      <x:c r="AI43" s="26"/>
      <x:c r="AJ43" s="26"/>
      <x:c r="AK43" s="26"/>
      <x:c r="AL43" s="26"/>
      <x:c r="AM43" s="26"/>
      <x:c r="AN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  <x:c r="AF44" s="26"/>
      <x:c r="AG44" s="26"/>
      <x:c r="AH44" s="26"/>
      <x:c r="AI44" s="26"/>
      <x:c r="AJ44" s="26"/>
      <x:c r="AK44" s="26"/>
      <x:c r="AL44" s="26"/>
      <x:c r="AM44" s="26"/>
      <x:c r="AN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26"/>
      <x:c r="AG45" s="26"/>
      <x:c r="AH45" s="26"/>
      <x:c r="AI45" s="26"/>
      <x:c r="AJ45" s="26"/>
      <x:c r="AK45" s="26"/>
      <x:c r="AL45" s="26"/>
      <x:c r="AM45" s="26"/>
      <x:c r="AN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  <x:c r="AG46" s="26"/>
      <x:c r="AH46" s="26"/>
      <x:c r="AI46" s="26"/>
      <x:c r="AJ46" s="26"/>
      <x:c r="AK46" s="26"/>
      <x:c r="AL46" s="26"/>
      <x:c r="AM46" s="26"/>
      <x:c r="AN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  <x:c r="AA47" s="26"/>
      <x:c r="AB47" s="26"/>
      <x:c r="AC47" s="26"/>
      <x:c r="AD47" s="26"/>
      <x:c r="AE47" s="26"/>
      <x:c r="AF47" s="26"/>
      <x:c r="AG47" s="26"/>
      <x:c r="AH47" s="26"/>
      <x:c r="AI47" s="26"/>
      <x:c r="AJ47" s="26"/>
      <x:c r="AK47" s="26"/>
      <x:c r="AL47" s="26"/>
      <x:c r="AM47" s="26"/>
      <x:c r="AN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  <x:c r="AA48" s="26"/>
      <x:c r="AB48" s="26"/>
      <x:c r="AC48" s="26"/>
      <x:c r="AD48" s="26"/>
      <x:c r="AE48" s="26"/>
      <x:c r="AF48" s="26"/>
      <x:c r="AG48" s="26"/>
      <x:c r="AH48" s="26"/>
      <x:c r="AI48" s="26"/>
      <x:c r="AJ48" s="26"/>
      <x:c r="AK48" s="26"/>
      <x:c r="AL48" s="26"/>
      <x:c r="AM48" s="26"/>
      <x:c r="AN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  <x:c r="AA49" s="26"/>
      <x:c r="AB49" s="26"/>
      <x:c r="AC49" s="26"/>
      <x:c r="AD49" s="26"/>
      <x:c r="AE49" s="26"/>
      <x:c r="AF49" s="26"/>
      <x:c r="AG49" s="26"/>
      <x:c r="AH49" s="26"/>
      <x:c r="AI49" s="26"/>
      <x:c r="AJ49" s="26"/>
      <x:c r="AK49" s="26"/>
      <x:c r="AL49" s="26"/>
      <x:c r="AM49" s="26"/>
      <x:c r="AN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  <x:c r="AA50" s="26"/>
      <x:c r="AB50" s="26"/>
      <x:c r="AC50" s="26"/>
      <x:c r="AD50" s="26"/>
      <x:c r="AE50" s="26"/>
      <x:c r="AF50" s="26"/>
      <x:c r="AG50" s="26"/>
      <x:c r="AH50" s="26"/>
      <x:c r="AI50" s="26"/>
      <x:c r="AJ50" s="26"/>
      <x:c r="AK50" s="26"/>
      <x:c r="AL50" s="26"/>
      <x:c r="AM50" s="26"/>
      <x:c r="AN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  <x:c r="AA51" s="26"/>
      <x:c r="AB51" s="26"/>
      <x:c r="AC51" s="26"/>
      <x:c r="AD51" s="26"/>
      <x:c r="AE51" s="26"/>
      <x:c r="AF51" s="26"/>
      <x:c r="AG51" s="26"/>
      <x:c r="AH51" s="26"/>
      <x:c r="AI51" s="26"/>
      <x:c r="AJ51" s="26"/>
      <x:c r="AK51" s="26"/>
      <x:c r="AL51" s="26"/>
      <x:c r="AM51" s="26"/>
      <x:c r="AN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  <x:c r="AA52" s="26"/>
      <x:c r="AB52" s="26"/>
      <x:c r="AC52" s="26"/>
      <x:c r="AD52" s="26"/>
      <x:c r="AE52" s="26"/>
      <x:c r="AF52" s="26"/>
      <x:c r="AG52" s="26"/>
      <x:c r="AH52" s="26"/>
      <x:c r="AI52" s="26"/>
      <x:c r="AJ52" s="26"/>
      <x:c r="AK52" s="26"/>
      <x:c r="AL52" s="26"/>
      <x:c r="AM52" s="26"/>
      <x:c r="AN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  <x:c r="AA53" s="26"/>
      <x:c r="AB53" s="26"/>
      <x:c r="AC53" s="26"/>
      <x:c r="AD53" s="26"/>
      <x:c r="AE53" s="26"/>
      <x:c r="AF53" s="26"/>
      <x:c r="AG53" s="26"/>
      <x:c r="AH53" s="26"/>
      <x:c r="AI53" s="26"/>
      <x:c r="AJ53" s="26"/>
      <x:c r="AK53" s="26"/>
      <x:c r="AL53" s="26"/>
      <x:c r="AM53" s="26"/>
      <x:c r="AN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  <x:c r="AA54" s="26"/>
      <x:c r="AB54" s="26"/>
      <x:c r="AC54" s="26"/>
      <x:c r="AD54" s="26"/>
      <x:c r="AE54" s="26"/>
      <x:c r="AF54" s="26"/>
      <x:c r="AG54" s="26"/>
      <x:c r="AH54" s="26"/>
      <x:c r="AI54" s="26"/>
      <x:c r="AJ54" s="26"/>
      <x:c r="AK54" s="26"/>
      <x:c r="AL54" s="26"/>
      <x:c r="AM54" s="26"/>
      <x:c r="AN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  <x:c r="AA55" s="26"/>
      <x:c r="AB55" s="26"/>
      <x:c r="AC55" s="26"/>
      <x:c r="AD55" s="26"/>
      <x:c r="AE55" s="26"/>
      <x:c r="AF55" s="26"/>
      <x:c r="AG55" s="26"/>
      <x:c r="AH55" s="26"/>
      <x:c r="AI55" s="26"/>
      <x:c r="AJ55" s="26"/>
      <x:c r="AK55" s="26"/>
      <x:c r="AL55" s="26"/>
      <x:c r="AM55" s="26"/>
      <x:c r="AN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  <x:c r="AA56" s="26"/>
      <x:c r="AB56" s="26"/>
      <x:c r="AC56" s="26"/>
      <x:c r="AD56" s="26"/>
      <x:c r="AE56" s="26"/>
      <x:c r="AF56" s="26"/>
      <x:c r="AG56" s="26"/>
      <x:c r="AH56" s="26"/>
      <x:c r="AI56" s="26"/>
      <x:c r="AJ56" s="26"/>
      <x:c r="AK56" s="26"/>
      <x:c r="AL56" s="26"/>
      <x:c r="AM56" s="26"/>
      <x:c r="AN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  <x:c r="AA57" s="26"/>
      <x:c r="AB57" s="26"/>
      <x:c r="AC57" s="26"/>
      <x:c r="AD57" s="26"/>
      <x:c r="AE57" s="26"/>
      <x:c r="AF57" s="26"/>
      <x:c r="AG57" s="26"/>
      <x:c r="AH57" s="26"/>
      <x:c r="AI57" s="26"/>
      <x:c r="AJ57" s="26"/>
      <x:c r="AK57" s="26"/>
      <x:c r="AL57" s="26"/>
      <x:c r="AM57" s="26"/>
      <x:c r="AN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  <x:c r="AA58" s="26"/>
      <x:c r="AB58" s="26"/>
      <x:c r="AC58" s="26"/>
      <x:c r="AD58" s="26"/>
      <x:c r="AE58" s="26"/>
      <x:c r="AF58" s="26"/>
      <x:c r="AG58" s="26"/>
      <x:c r="AH58" s="26"/>
      <x:c r="AI58" s="26"/>
      <x:c r="AJ58" s="26"/>
      <x:c r="AK58" s="26"/>
      <x:c r="AL58" s="26"/>
      <x:c r="AM58" s="26"/>
      <x:c r="AN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  <x:c r="AA59" s="26"/>
      <x:c r="AB59" s="26"/>
      <x:c r="AC59" s="26"/>
      <x:c r="AD59" s="26"/>
      <x:c r="AE59" s="26"/>
      <x:c r="AF59" s="26"/>
      <x:c r="AG59" s="26"/>
      <x:c r="AH59" s="26"/>
      <x:c r="AI59" s="26"/>
      <x:c r="AJ59" s="26"/>
      <x:c r="AK59" s="26"/>
      <x:c r="AL59" s="26"/>
      <x:c r="AM59" s="26"/>
      <x:c r="AN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6"/>
      <x:c r="AG60" s="26"/>
      <x:c r="AH60" s="26"/>
      <x:c r="AI60" s="26"/>
      <x:c r="AJ60" s="26"/>
      <x:c r="AK60" s="26"/>
      <x:c r="AL60" s="26"/>
      <x:c r="AM60" s="26"/>
      <x:c r="AN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  <x:c r="AA61" s="26"/>
      <x:c r="AB61" s="26"/>
      <x:c r="AC61" s="26"/>
      <x:c r="AD61" s="26"/>
      <x:c r="AE61" s="26"/>
      <x:c r="AF61" s="26"/>
      <x:c r="AG61" s="26"/>
      <x:c r="AH61" s="26"/>
      <x:c r="AI61" s="26"/>
      <x:c r="AJ61" s="26"/>
      <x:c r="AK61" s="26"/>
      <x:c r="AL61" s="26"/>
      <x:c r="AM61" s="26"/>
      <x:c r="AN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  <x:c r="AA62" s="26"/>
      <x:c r="AB62" s="26"/>
      <x:c r="AC62" s="26"/>
      <x:c r="AD62" s="26"/>
      <x:c r="AE62" s="26"/>
      <x:c r="AF62" s="26"/>
      <x:c r="AG62" s="26"/>
      <x:c r="AH62" s="26"/>
      <x:c r="AI62" s="26"/>
      <x:c r="AJ62" s="26"/>
      <x:c r="AK62" s="26"/>
      <x:c r="AL62" s="26"/>
      <x:c r="AM62" s="26"/>
      <x:c r="AN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  <x:c r="AA63" s="26"/>
      <x:c r="AB63" s="26"/>
      <x:c r="AC63" s="26"/>
      <x:c r="AD63" s="26"/>
      <x:c r="AE63" s="26"/>
      <x:c r="AF63" s="26"/>
      <x:c r="AG63" s="26"/>
      <x:c r="AH63" s="26"/>
      <x:c r="AI63" s="26"/>
      <x:c r="AJ63" s="26"/>
      <x:c r="AK63" s="26"/>
      <x:c r="AL63" s="26"/>
      <x:c r="AM63" s="26"/>
      <x:c r="AN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  <x:c r="AA64" s="26"/>
      <x:c r="AB64" s="26"/>
      <x:c r="AC64" s="26"/>
      <x:c r="AD64" s="26"/>
      <x:c r="AE64" s="26"/>
      <x:c r="AF64" s="26"/>
      <x:c r="AG64" s="26"/>
      <x:c r="AH64" s="26"/>
      <x:c r="AI64" s="26"/>
      <x:c r="AJ64" s="26"/>
      <x:c r="AK64" s="26"/>
      <x:c r="AL64" s="26"/>
      <x:c r="AM64" s="26"/>
      <x:c r="AN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  <x:c r="AA65" s="26"/>
      <x:c r="AB65" s="26"/>
      <x:c r="AC65" s="26"/>
      <x:c r="AD65" s="26"/>
      <x:c r="AE65" s="26"/>
      <x:c r="AF65" s="26"/>
      <x:c r="AG65" s="26"/>
      <x:c r="AH65" s="26"/>
      <x:c r="AI65" s="26"/>
      <x:c r="AJ65" s="26"/>
      <x:c r="AK65" s="26"/>
      <x:c r="AL65" s="26"/>
      <x:c r="AM65" s="26"/>
      <x:c r="AN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  <x:c r="AA66" s="26"/>
      <x:c r="AB66" s="26"/>
      <x:c r="AC66" s="26"/>
      <x:c r="AD66" s="26"/>
      <x:c r="AE66" s="26"/>
      <x:c r="AF66" s="26"/>
      <x:c r="AG66" s="26"/>
      <x:c r="AH66" s="26"/>
      <x:c r="AI66" s="26"/>
      <x:c r="AJ66" s="26"/>
      <x:c r="AK66" s="26"/>
      <x:c r="AL66" s="26"/>
      <x:c r="AM66" s="26"/>
      <x:c r="AN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  <x:c r="AA67" s="26"/>
      <x:c r="AB67" s="26"/>
      <x:c r="AC67" s="26"/>
      <x:c r="AD67" s="26"/>
      <x:c r="AE67" s="26"/>
      <x:c r="AF67" s="26"/>
      <x:c r="AG67" s="26"/>
      <x:c r="AH67" s="26"/>
      <x:c r="AI67" s="26"/>
      <x:c r="AJ67" s="26"/>
      <x:c r="AK67" s="26"/>
      <x:c r="AL67" s="26"/>
      <x:c r="AM67" s="26"/>
      <x:c r="AN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  <x:c r="AA68" s="26"/>
      <x:c r="AB68" s="26"/>
      <x:c r="AC68" s="26"/>
      <x:c r="AD68" s="26"/>
      <x:c r="AE68" s="26"/>
      <x:c r="AF68" s="26"/>
      <x:c r="AG68" s="26"/>
      <x:c r="AH68" s="26"/>
      <x:c r="AI68" s="26"/>
      <x:c r="AJ68" s="26"/>
      <x:c r="AK68" s="26"/>
      <x:c r="AL68" s="26"/>
      <x:c r="AM68" s="26"/>
      <x:c r="AN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  <x:c r="AA69" s="26"/>
      <x:c r="AB69" s="26"/>
      <x:c r="AC69" s="26"/>
      <x:c r="AD69" s="26"/>
      <x:c r="AE69" s="26"/>
      <x:c r="AF69" s="26"/>
      <x:c r="AG69" s="26"/>
      <x:c r="AH69" s="26"/>
      <x:c r="AI69" s="26"/>
      <x:c r="AJ69" s="26"/>
      <x:c r="AK69" s="26"/>
      <x:c r="AL69" s="26"/>
      <x:c r="AM69" s="26"/>
      <x:c r="AN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  <x:c r="AA70" s="26"/>
      <x:c r="AB70" s="26"/>
      <x:c r="AC70" s="26"/>
      <x:c r="AD70" s="26"/>
      <x:c r="AE70" s="26"/>
      <x:c r="AF70" s="26"/>
      <x:c r="AG70" s="26"/>
      <x:c r="AH70" s="26"/>
      <x:c r="AI70" s="26"/>
      <x:c r="AJ70" s="26"/>
      <x:c r="AK70" s="26"/>
      <x:c r="AL70" s="26"/>
      <x:c r="AM70" s="26"/>
      <x:c r="AN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  <x:c r="AA71" s="26"/>
      <x:c r="AB71" s="26"/>
      <x:c r="AC71" s="26"/>
      <x:c r="AD71" s="26"/>
      <x:c r="AE71" s="26"/>
      <x:c r="AF71" s="26"/>
      <x:c r="AG71" s="26"/>
      <x:c r="AH71" s="26"/>
      <x:c r="AI71" s="26"/>
      <x:c r="AJ71" s="26"/>
      <x:c r="AK71" s="26"/>
      <x:c r="AL71" s="26"/>
      <x:c r="AM71" s="26"/>
      <x:c r="AN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  <x:c r="AA72" s="26"/>
      <x:c r="AB72" s="26"/>
      <x:c r="AC72" s="26"/>
      <x:c r="AD72" s="26"/>
      <x:c r="AE72" s="26"/>
      <x:c r="AF72" s="26"/>
      <x:c r="AG72" s="26"/>
      <x:c r="AH72" s="26"/>
      <x:c r="AI72" s="26"/>
      <x:c r="AJ72" s="26"/>
      <x:c r="AK72" s="26"/>
      <x:c r="AL72" s="26"/>
      <x:c r="AM72" s="26"/>
      <x:c r="AN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6"/>
      <x:c r="AG73" s="26"/>
      <x:c r="AH73" s="26"/>
      <x:c r="AI73" s="26"/>
      <x:c r="AJ73" s="26"/>
      <x:c r="AK73" s="26"/>
      <x:c r="AL73" s="26"/>
      <x:c r="AM73" s="26"/>
      <x:c r="AN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  <x:c r="AA74" s="26"/>
      <x:c r="AB74" s="26"/>
      <x:c r="AC74" s="26"/>
      <x:c r="AD74" s="26"/>
      <x:c r="AE74" s="26"/>
      <x:c r="AF74" s="26"/>
      <x:c r="AG74" s="26"/>
      <x:c r="AH74" s="26"/>
      <x:c r="AI74" s="26"/>
      <x:c r="AJ74" s="26"/>
      <x:c r="AK74" s="26"/>
      <x:c r="AL74" s="26"/>
      <x:c r="AM74" s="26"/>
      <x:c r="AN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  <x:c r="AA75" s="26"/>
      <x:c r="AB75" s="26"/>
      <x:c r="AC75" s="26"/>
      <x:c r="AD75" s="26"/>
      <x:c r="AE75" s="26"/>
      <x:c r="AF75" s="26"/>
      <x:c r="AG75" s="26"/>
      <x:c r="AH75" s="26"/>
      <x:c r="AI75" s="26"/>
      <x:c r="AJ75" s="26"/>
      <x:c r="AK75" s="26"/>
      <x:c r="AL75" s="26"/>
      <x:c r="AM75" s="26"/>
      <x:c r="AN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  <x:c r="AA76" s="26"/>
      <x:c r="AB76" s="26"/>
      <x:c r="AC76" s="26"/>
      <x:c r="AD76" s="26"/>
      <x:c r="AE76" s="26"/>
      <x:c r="AF76" s="26"/>
      <x:c r="AG76" s="26"/>
      <x:c r="AH76" s="26"/>
      <x:c r="AI76" s="26"/>
      <x:c r="AJ76" s="26"/>
      <x:c r="AK76" s="26"/>
      <x:c r="AL76" s="26"/>
      <x:c r="AM76" s="26"/>
      <x:c r="AN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  <x:c r="AA77" s="26"/>
      <x:c r="AB77" s="26"/>
      <x:c r="AC77" s="26"/>
      <x:c r="AD77" s="26"/>
      <x:c r="AE77" s="26"/>
      <x:c r="AF77" s="26"/>
      <x:c r="AG77" s="26"/>
      <x:c r="AH77" s="26"/>
      <x:c r="AI77" s="26"/>
      <x:c r="AJ77" s="26"/>
      <x:c r="AK77" s="26"/>
      <x:c r="AL77" s="26"/>
      <x:c r="AM77" s="26"/>
      <x:c r="AN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  <x:c r="AA78" s="26"/>
      <x:c r="AB78" s="26"/>
      <x:c r="AC78" s="26"/>
      <x:c r="AD78" s="26"/>
      <x:c r="AE78" s="26"/>
      <x:c r="AF78" s="26"/>
      <x:c r="AG78" s="26"/>
      <x:c r="AH78" s="26"/>
      <x:c r="AI78" s="26"/>
      <x:c r="AJ78" s="26"/>
      <x:c r="AK78" s="26"/>
      <x:c r="AL78" s="26"/>
      <x:c r="AM78" s="26"/>
      <x:c r="AN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  <x:c r="AA79" s="26"/>
      <x:c r="AB79" s="26"/>
      <x:c r="AC79" s="26"/>
      <x:c r="AD79" s="26"/>
      <x:c r="AE79" s="26"/>
      <x:c r="AF79" s="26"/>
      <x:c r="AG79" s="26"/>
      <x:c r="AH79" s="26"/>
      <x:c r="AI79" s="26"/>
      <x:c r="AJ79" s="26"/>
      <x:c r="AK79" s="26"/>
      <x:c r="AL79" s="26"/>
      <x:c r="AM79" s="26"/>
      <x:c r="AN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  <x:c r="AA80" s="26"/>
      <x:c r="AB80" s="26"/>
      <x:c r="AC80" s="26"/>
      <x:c r="AD80" s="26"/>
      <x:c r="AE80" s="26"/>
      <x:c r="AF80" s="26"/>
      <x:c r="AG80" s="26"/>
      <x:c r="AH80" s="26"/>
      <x:c r="AI80" s="26"/>
      <x:c r="AJ80" s="26"/>
      <x:c r="AK80" s="26"/>
      <x:c r="AL80" s="26"/>
      <x:c r="AM80" s="26"/>
      <x:c r="AN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  <x:c r="AA81" s="26"/>
      <x:c r="AB81" s="26"/>
      <x:c r="AC81" s="26"/>
      <x:c r="AD81" s="26"/>
      <x:c r="AE81" s="26"/>
      <x:c r="AF81" s="26"/>
      <x:c r="AG81" s="26"/>
      <x:c r="AH81" s="26"/>
      <x:c r="AI81" s="26"/>
      <x:c r="AJ81" s="26"/>
      <x:c r="AK81" s="26"/>
      <x:c r="AL81" s="26"/>
      <x:c r="AM81" s="26"/>
      <x:c r="AN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  <x:c r="AA82" s="26"/>
      <x:c r="AB82" s="26"/>
      <x:c r="AC82" s="26"/>
      <x:c r="AD82" s="26"/>
      <x:c r="AE82" s="26"/>
      <x:c r="AF82" s="26"/>
      <x:c r="AG82" s="26"/>
      <x:c r="AH82" s="26"/>
      <x:c r="AI82" s="26"/>
      <x:c r="AJ82" s="26"/>
      <x:c r="AK82" s="26"/>
      <x:c r="AL82" s="26"/>
      <x:c r="AM82" s="26"/>
      <x:c r="AN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  <x:c r="AA83" s="26"/>
      <x:c r="AB83" s="26"/>
      <x:c r="AC83" s="26"/>
      <x:c r="AD83" s="26"/>
      <x:c r="AE83" s="26"/>
      <x:c r="AF83" s="26"/>
      <x:c r="AG83" s="26"/>
      <x:c r="AH83" s="26"/>
      <x:c r="AI83" s="26"/>
      <x:c r="AJ83" s="26"/>
      <x:c r="AK83" s="26"/>
      <x:c r="AL83" s="26"/>
      <x:c r="AM83" s="26"/>
      <x:c r="AN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  <x:c r="AA84" s="26"/>
      <x:c r="AB84" s="26"/>
      <x:c r="AC84" s="26"/>
      <x:c r="AD84" s="26"/>
      <x:c r="AE84" s="26"/>
      <x:c r="AF84" s="26"/>
      <x:c r="AG84" s="26"/>
      <x:c r="AH84" s="26"/>
      <x:c r="AI84" s="26"/>
      <x:c r="AJ84" s="26"/>
      <x:c r="AK84" s="26"/>
      <x:c r="AL84" s="26"/>
      <x:c r="AM84" s="26"/>
      <x:c r="AN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  <x:c r="AA85" s="26"/>
      <x:c r="AB85" s="26"/>
      <x:c r="AC85" s="26"/>
      <x:c r="AD85" s="26"/>
      <x:c r="AE85" s="26"/>
      <x:c r="AF85" s="26"/>
      <x:c r="AG85" s="26"/>
      <x:c r="AH85" s="26"/>
      <x:c r="AI85" s="26"/>
      <x:c r="AJ85" s="26"/>
      <x:c r="AK85" s="26"/>
      <x:c r="AL85" s="26"/>
      <x:c r="AM85" s="26"/>
      <x:c r="AN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6"/>
      <x:c r="AG86" s="26"/>
      <x:c r="AH86" s="26"/>
      <x:c r="AI86" s="26"/>
      <x:c r="AJ86" s="26"/>
      <x:c r="AK86" s="26"/>
      <x:c r="AL86" s="26"/>
      <x:c r="AM86" s="26"/>
      <x:c r="AN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  <x:c r="AA87" s="26"/>
      <x:c r="AB87" s="26"/>
      <x:c r="AC87" s="26"/>
      <x:c r="AD87" s="26"/>
      <x:c r="AE87" s="26"/>
      <x:c r="AF87" s="26"/>
      <x:c r="AG87" s="26"/>
      <x:c r="AH87" s="26"/>
      <x:c r="AI87" s="26"/>
      <x:c r="AJ87" s="26"/>
      <x:c r="AK87" s="26"/>
      <x:c r="AL87" s="26"/>
      <x:c r="AM87" s="26"/>
      <x:c r="AN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  <x:c r="AA88" s="26"/>
      <x:c r="AB88" s="26"/>
      <x:c r="AC88" s="26"/>
      <x:c r="AD88" s="26"/>
      <x:c r="AE88" s="26"/>
      <x:c r="AF88" s="26"/>
      <x:c r="AG88" s="26"/>
      <x:c r="AH88" s="26"/>
      <x:c r="AI88" s="26"/>
      <x:c r="AJ88" s="26"/>
      <x:c r="AK88" s="26"/>
      <x:c r="AL88" s="26"/>
      <x:c r="AM88" s="26"/>
      <x:c r="AN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  <x:c r="AA89" s="26"/>
      <x:c r="AB89" s="26"/>
      <x:c r="AC89" s="26"/>
      <x:c r="AD89" s="26"/>
      <x:c r="AE89" s="26"/>
      <x:c r="AF89" s="26"/>
      <x:c r="AG89" s="26"/>
      <x:c r="AH89" s="26"/>
      <x:c r="AI89" s="26"/>
      <x:c r="AJ89" s="26"/>
      <x:c r="AK89" s="26"/>
      <x:c r="AL89" s="26"/>
      <x:c r="AM89" s="26"/>
      <x:c r="AN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  <x:c r="AA90" s="26"/>
      <x:c r="AB90" s="26"/>
      <x:c r="AC90" s="26"/>
      <x:c r="AD90" s="26"/>
      <x:c r="AE90" s="26"/>
      <x:c r="AF90" s="26"/>
      <x:c r="AG90" s="26"/>
      <x:c r="AH90" s="26"/>
      <x:c r="AI90" s="26"/>
      <x:c r="AJ90" s="26"/>
      <x:c r="AK90" s="26"/>
      <x:c r="AL90" s="26"/>
      <x:c r="AM90" s="26"/>
      <x:c r="AN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  <x:c r="AA91" s="26"/>
      <x:c r="AB91" s="26"/>
      <x:c r="AC91" s="26"/>
      <x:c r="AD91" s="26"/>
      <x:c r="AE91" s="26"/>
      <x:c r="AF91" s="26"/>
      <x:c r="AG91" s="26"/>
      <x:c r="AH91" s="26"/>
      <x:c r="AI91" s="26"/>
      <x:c r="AJ91" s="26"/>
      <x:c r="AK91" s="26"/>
      <x:c r="AL91" s="26"/>
      <x:c r="AM91" s="26"/>
      <x:c r="AN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  <x:c r="AA92" s="26"/>
      <x:c r="AB92" s="26"/>
      <x:c r="AC92" s="26"/>
      <x:c r="AD92" s="26"/>
      <x:c r="AE92" s="26"/>
      <x:c r="AF92" s="26"/>
      <x:c r="AG92" s="26"/>
      <x:c r="AH92" s="26"/>
      <x:c r="AI92" s="26"/>
      <x:c r="AJ92" s="26"/>
      <x:c r="AK92" s="26"/>
      <x:c r="AL92" s="26"/>
      <x:c r="AM92" s="26"/>
      <x:c r="AN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  <x:c r="AA93" s="26"/>
      <x:c r="AB93" s="26"/>
      <x:c r="AC93" s="26"/>
      <x:c r="AD93" s="26"/>
      <x:c r="AE93" s="26"/>
      <x:c r="AF93" s="26"/>
      <x:c r="AG93" s="26"/>
      <x:c r="AH93" s="26"/>
      <x:c r="AI93" s="26"/>
      <x:c r="AJ93" s="26"/>
      <x:c r="AK93" s="26"/>
      <x:c r="AL93" s="26"/>
      <x:c r="AM93" s="26"/>
      <x:c r="AN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  <x:c r="AA94" s="26"/>
      <x:c r="AB94" s="26"/>
      <x:c r="AC94" s="26"/>
      <x:c r="AD94" s="26"/>
      <x:c r="AE94" s="26"/>
      <x:c r="AF94" s="26"/>
      <x:c r="AG94" s="26"/>
      <x:c r="AH94" s="26"/>
      <x:c r="AI94" s="26"/>
      <x:c r="AJ94" s="26"/>
      <x:c r="AK94" s="26"/>
      <x:c r="AL94" s="26"/>
      <x:c r="AM94" s="26"/>
      <x:c r="AN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  <x:c r="AA95" s="26"/>
      <x:c r="AB95" s="26"/>
      <x:c r="AC95" s="26"/>
      <x:c r="AD95" s="26"/>
      <x:c r="AE95" s="26"/>
      <x:c r="AF95" s="26"/>
      <x:c r="AG95" s="26"/>
      <x:c r="AH95" s="26"/>
      <x:c r="AI95" s="26"/>
      <x:c r="AJ95" s="26"/>
      <x:c r="AK95" s="26"/>
      <x:c r="AL95" s="26"/>
      <x:c r="AM95" s="26"/>
      <x:c r="AN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  <x:c r="AA96" s="26"/>
      <x:c r="AB96" s="26"/>
      <x:c r="AC96" s="26"/>
      <x:c r="AD96" s="26"/>
      <x:c r="AE96" s="26"/>
      <x:c r="AF96" s="26"/>
      <x:c r="AG96" s="26"/>
      <x:c r="AH96" s="26"/>
      <x:c r="AI96" s="26"/>
      <x:c r="AJ96" s="26"/>
      <x:c r="AK96" s="26"/>
      <x:c r="AL96" s="26"/>
      <x:c r="AM96" s="26"/>
      <x:c r="AN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  <x:c r="AA97" s="26"/>
      <x:c r="AB97" s="26"/>
      <x:c r="AC97" s="26"/>
      <x:c r="AD97" s="26"/>
      <x:c r="AE97" s="26"/>
      <x:c r="AF97" s="26"/>
      <x:c r="AG97" s="26"/>
      <x:c r="AH97" s="26"/>
      <x:c r="AI97" s="26"/>
      <x:c r="AJ97" s="26"/>
      <x:c r="AK97" s="26"/>
      <x:c r="AL97" s="26"/>
      <x:c r="AM97" s="26"/>
      <x:c r="AN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  <x:c r="AA98" s="26"/>
      <x:c r="AB98" s="26"/>
      <x:c r="AC98" s="26"/>
      <x:c r="AD98" s="26"/>
      <x:c r="AE98" s="26"/>
      <x:c r="AF98" s="26"/>
      <x:c r="AG98" s="26"/>
      <x:c r="AH98" s="26"/>
      <x:c r="AI98" s="26"/>
      <x:c r="AJ98" s="26"/>
      <x:c r="AK98" s="26"/>
      <x:c r="AL98" s="26"/>
      <x:c r="AM98" s="26"/>
      <x:c r="AN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6"/>
      <x:c r="AG99" s="26"/>
      <x:c r="AH99" s="26"/>
      <x:c r="AI99" s="26"/>
      <x:c r="AJ99" s="26"/>
      <x:c r="AK99" s="26"/>
      <x:c r="AL99" s="26"/>
      <x:c r="AM99" s="26"/>
      <x:c r="AN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  <x:c r="AA100" s="26"/>
      <x:c r="AB100" s="26"/>
      <x:c r="AC100" s="26"/>
      <x:c r="AD100" s="26"/>
      <x:c r="AE100" s="26"/>
      <x:c r="AF100" s="26"/>
      <x:c r="AG100" s="26"/>
      <x:c r="AH100" s="26"/>
      <x:c r="AI100" s="26"/>
      <x:c r="AJ100" s="26"/>
      <x:c r="AK100" s="26"/>
      <x:c r="AL100" s="26"/>
      <x:c r="AM100" s="26"/>
      <x:c r="AN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  <x:c r="AA101" s="26"/>
      <x:c r="AB101" s="26"/>
      <x:c r="AC101" s="26"/>
      <x:c r="AD101" s="26"/>
      <x:c r="AE101" s="26"/>
      <x:c r="AF101" s="26"/>
      <x:c r="AG101" s="26"/>
      <x:c r="AH101" s="26"/>
      <x:c r="AI101" s="26"/>
      <x:c r="AJ101" s="26"/>
      <x:c r="AK101" s="26"/>
      <x:c r="AL101" s="26"/>
      <x:c r="AM101" s="26"/>
      <x:c r="AN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  <x:c r="AA102" s="26"/>
      <x:c r="AB102" s="26"/>
      <x:c r="AC102" s="26"/>
      <x:c r="AD102" s="26"/>
      <x:c r="AE102" s="26"/>
      <x:c r="AF102" s="26"/>
      <x:c r="AG102" s="26"/>
      <x:c r="AH102" s="26"/>
      <x:c r="AI102" s="26"/>
      <x:c r="AJ102" s="26"/>
      <x:c r="AK102" s="26"/>
      <x:c r="AL102" s="26"/>
      <x:c r="AM102" s="26"/>
      <x:c r="AN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  <x:c r="AA103" s="26"/>
      <x:c r="AB103" s="26"/>
      <x:c r="AC103" s="26"/>
      <x:c r="AD103" s="26"/>
      <x:c r="AE103" s="26"/>
      <x:c r="AF103" s="26"/>
      <x:c r="AG103" s="26"/>
      <x:c r="AH103" s="26"/>
      <x:c r="AI103" s="26"/>
      <x:c r="AJ103" s="26"/>
      <x:c r="AK103" s="26"/>
      <x:c r="AL103" s="26"/>
      <x:c r="AM103" s="26"/>
      <x:c r="AN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  <x:c r="AA104" s="26"/>
      <x:c r="AB104" s="26"/>
      <x:c r="AC104" s="26"/>
      <x:c r="AD104" s="26"/>
      <x:c r="AE104" s="26"/>
      <x:c r="AF104" s="26"/>
      <x:c r="AG104" s="26"/>
      <x:c r="AH104" s="26"/>
      <x:c r="AI104" s="26"/>
      <x:c r="AJ104" s="26"/>
      <x:c r="AK104" s="26"/>
      <x:c r="AL104" s="26"/>
      <x:c r="AM104" s="26"/>
      <x:c r="AN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  <x:c r="AA105" s="26"/>
      <x:c r="AB105" s="26"/>
      <x:c r="AC105" s="26"/>
      <x:c r="AD105" s="26"/>
      <x:c r="AE105" s="26"/>
      <x:c r="AF105" s="26"/>
      <x:c r="AG105" s="26"/>
      <x:c r="AH105" s="26"/>
      <x:c r="AI105" s="26"/>
      <x:c r="AJ105" s="26"/>
      <x:c r="AK105" s="26"/>
      <x:c r="AL105" s="26"/>
      <x:c r="AM105" s="26"/>
      <x:c r="AN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  <x:c r="AA106" s="26"/>
      <x:c r="AB106" s="26"/>
      <x:c r="AC106" s="26"/>
      <x:c r="AD106" s="26"/>
      <x:c r="AE106" s="26"/>
      <x:c r="AF106" s="26"/>
      <x:c r="AG106" s="26"/>
      <x:c r="AH106" s="26"/>
      <x:c r="AI106" s="26"/>
      <x:c r="AJ106" s="26"/>
      <x:c r="AK106" s="26"/>
      <x:c r="AL106" s="26"/>
      <x:c r="AM106" s="26"/>
      <x:c r="AN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  <x:c r="AA107" s="26"/>
      <x:c r="AB107" s="26"/>
      <x:c r="AC107" s="26"/>
      <x:c r="AD107" s="26"/>
      <x:c r="AE107" s="26"/>
      <x:c r="AF107" s="26"/>
      <x:c r="AG107" s="26"/>
      <x:c r="AH107" s="26"/>
      <x:c r="AI107" s="26"/>
      <x:c r="AJ107" s="26"/>
      <x:c r="AK107" s="26"/>
      <x:c r="AL107" s="26"/>
      <x:c r="AM107" s="26"/>
      <x:c r="AN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  <x:c r="AA108" s="26"/>
      <x:c r="AB108" s="26"/>
      <x:c r="AC108" s="26"/>
      <x:c r="AD108" s="26"/>
      <x:c r="AE108" s="26"/>
      <x:c r="AF108" s="26"/>
      <x:c r="AG108" s="26"/>
      <x:c r="AH108" s="26"/>
      <x:c r="AI108" s="26"/>
      <x:c r="AJ108" s="26"/>
      <x:c r="AK108" s="26"/>
      <x:c r="AL108" s="26"/>
      <x:c r="AM108" s="26"/>
      <x:c r="AN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  <x:c r="AA109" s="26"/>
      <x:c r="AB109" s="26"/>
      <x:c r="AC109" s="26"/>
      <x:c r="AD109" s="26"/>
      <x:c r="AE109" s="26"/>
      <x:c r="AF109" s="26"/>
      <x:c r="AG109" s="26"/>
      <x:c r="AH109" s="26"/>
      <x:c r="AI109" s="26"/>
      <x:c r="AJ109" s="26"/>
      <x:c r="AK109" s="26"/>
      <x:c r="AL109" s="26"/>
      <x:c r="AM109" s="26"/>
      <x:c r="AN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  <x:c r="AA110" s="26"/>
      <x:c r="AB110" s="26"/>
      <x:c r="AC110" s="26"/>
      <x:c r="AD110" s="26"/>
      <x:c r="AE110" s="26"/>
      <x:c r="AF110" s="26"/>
      <x:c r="AG110" s="26"/>
      <x:c r="AH110" s="26"/>
      <x:c r="AI110" s="26"/>
      <x:c r="AJ110" s="26"/>
      <x:c r="AK110" s="26"/>
      <x:c r="AL110" s="26"/>
      <x:c r="AM110" s="26"/>
      <x:c r="AN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  <x:c r="AA111" s="26"/>
      <x:c r="AB111" s="26"/>
      <x:c r="AC111" s="26"/>
      <x:c r="AD111" s="26"/>
      <x:c r="AE111" s="26"/>
      <x:c r="AF111" s="26"/>
      <x:c r="AG111" s="26"/>
      <x:c r="AH111" s="26"/>
      <x:c r="AI111" s="26"/>
      <x:c r="AJ111" s="26"/>
      <x:c r="AK111" s="26"/>
      <x:c r="AL111" s="26"/>
      <x:c r="AM111" s="26"/>
      <x:c r="AN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  <x:c r="AA112" s="26"/>
      <x:c r="AB112" s="26"/>
      <x:c r="AC112" s="26"/>
      <x:c r="AD112" s="26"/>
      <x:c r="AE112" s="26"/>
      <x:c r="AF112" s="26"/>
      <x:c r="AG112" s="26"/>
      <x:c r="AH112" s="26"/>
      <x:c r="AI112" s="26"/>
      <x:c r="AJ112" s="26"/>
      <x:c r="AK112" s="26"/>
      <x:c r="AL112" s="26"/>
      <x:c r="AM112" s="26"/>
      <x:c r="AN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  <x:c r="AA113" s="26"/>
      <x:c r="AB113" s="26"/>
      <x:c r="AC113" s="26"/>
      <x:c r="AD113" s="26"/>
      <x:c r="AE113" s="26"/>
      <x:c r="AF113" s="26"/>
      <x:c r="AG113" s="26"/>
      <x:c r="AH113" s="26"/>
      <x:c r="AI113" s="26"/>
      <x:c r="AJ113" s="26"/>
      <x:c r="AK113" s="26"/>
      <x:c r="AL113" s="26"/>
      <x:c r="AM113" s="26"/>
      <x:c r="AN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  <x:c r="AA114" s="26"/>
      <x:c r="AB114" s="26"/>
      <x:c r="AC114" s="26"/>
      <x:c r="AD114" s="26"/>
      <x:c r="AE114" s="26"/>
      <x:c r="AF114" s="26"/>
      <x:c r="AG114" s="26"/>
      <x:c r="AH114" s="26"/>
      <x:c r="AI114" s="26"/>
      <x:c r="AJ114" s="26"/>
      <x:c r="AK114" s="26"/>
      <x:c r="AL114" s="26"/>
      <x:c r="AM114" s="26"/>
      <x:c r="AN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  <x:c r="AA115" s="26"/>
      <x:c r="AB115" s="26"/>
      <x:c r="AC115" s="26"/>
      <x:c r="AD115" s="26"/>
      <x:c r="AE115" s="26"/>
      <x:c r="AF115" s="26"/>
      <x:c r="AG115" s="26"/>
      <x:c r="AH115" s="26"/>
      <x:c r="AI115" s="26"/>
      <x:c r="AJ115" s="26"/>
      <x:c r="AK115" s="26"/>
      <x:c r="AL115" s="26"/>
      <x:c r="AM115" s="26"/>
      <x:c r="AN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  <x:c r="AA116" s="26"/>
      <x:c r="AB116" s="26"/>
      <x:c r="AC116" s="26"/>
      <x:c r="AD116" s="26"/>
      <x:c r="AE116" s="26"/>
      <x:c r="AF116" s="26"/>
      <x:c r="AG116" s="26"/>
      <x:c r="AH116" s="26"/>
      <x:c r="AI116" s="26"/>
      <x:c r="AJ116" s="26"/>
      <x:c r="AK116" s="26"/>
      <x:c r="AL116" s="26"/>
      <x:c r="AM116" s="26"/>
      <x:c r="AN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  <x:c r="AA117" s="26"/>
      <x:c r="AB117" s="26"/>
      <x:c r="AC117" s="26"/>
      <x:c r="AD117" s="26"/>
      <x:c r="AE117" s="26"/>
      <x:c r="AF117" s="26"/>
      <x:c r="AG117" s="26"/>
      <x:c r="AH117" s="26"/>
      <x:c r="AI117" s="26"/>
      <x:c r="AJ117" s="26"/>
      <x:c r="AK117" s="26"/>
      <x:c r="AL117" s="26"/>
      <x:c r="AM117" s="26"/>
      <x:c r="AN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  <x:c r="AA118" s="26"/>
      <x:c r="AB118" s="26"/>
      <x:c r="AC118" s="26"/>
      <x:c r="AD118" s="26"/>
      <x:c r="AE118" s="26"/>
      <x:c r="AF118" s="26"/>
      <x:c r="AG118" s="26"/>
      <x:c r="AH118" s="26"/>
      <x:c r="AI118" s="26"/>
      <x:c r="AJ118" s="26"/>
      <x:c r="AK118" s="26"/>
      <x:c r="AL118" s="26"/>
      <x:c r="AM118" s="26"/>
      <x:c r="AN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  <x:c r="AA119" s="26"/>
      <x:c r="AB119" s="26"/>
      <x:c r="AC119" s="26"/>
      <x:c r="AD119" s="26"/>
      <x:c r="AE119" s="26"/>
      <x:c r="AF119" s="26"/>
      <x:c r="AG119" s="26"/>
      <x:c r="AH119" s="26"/>
      <x:c r="AI119" s="26"/>
      <x:c r="AJ119" s="26"/>
      <x:c r="AK119" s="26"/>
      <x:c r="AL119" s="26"/>
      <x:c r="AM119" s="26"/>
      <x:c r="AN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  <x:c r="AA120" s="26"/>
      <x:c r="AB120" s="26"/>
      <x:c r="AC120" s="26"/>
      <x:c r="AD120" s="26"/>
      <x:c r="AE120" s="26"/>
      <x:c r="AF120" s="26"/>
      <x:c r="AG120" s="26"/>
      <x:c r="AH120" s="26"/>
      <x:c r="AI120" s="26"/>
      <x:c r="AJ120" s="26"/>
      <x:c r="AK120" s="26"/>
      <x:c r="AL120" s="26"/>
      <x:c r="AM120" s="26"/>
      <x:c r="AN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  <x:c r="AA121" s="26"/>
      <x:c r="AB121" s="26"/>
      <x:c r="AC121" s="26"/>
      <x:c r="AD121" s="26"/>
      <x:c r="AE121" s="26"/>
      <x:c r="AF121" s="26"/>
      <x:c r="AG121" s="26"/>
      <x:c r="AH121" s="26"/>
      <x:c r="AI121" s="26"/>
      <x:c r="AJ121" s="26"/>
      <x:c r="AK121" s="26"/>
      <x:c r="AL121" s="26"/>
      <x:c r="AM121" s="26"/>
      <x:c r="AN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  <x:c r="AA122" s="26"/>
      <x:c r="AB122" s="26"/>
      <x:c r="AC122" s="26"/>
      <x:c r="AD122" s="26"/>
      <x:c r="AE122" s="26"/>
      <x:c r="AF122" s="26"/>
      <x:c r="AG122" s="26"/>
      <x:c r="AH122" s="26"/>
      <x:c r="AI122" s="26"/>
      <x:c r="AJ122" s="26"/>
      <x:c r="AK122" s="26"/>
      <x:c r="AL122" s="26"/>
      <x:c r="AM122" s="26"/>
      <x:c r="AN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  <x:c r="AA123" s="26"/>
      <x:c r="AB123" s="26"/>
      <x:c r="AC123" s="26"/>
      <x:c r="AD123" s="26"/>
      <x:c r="AE123" s="26"/>
      <x:c r="AF123" s="26"/>
      <x:c r="AG123" s="26"/>
      <x:c r="AH123" s="26"/>
      <x:c r="AI123" s="26"/>
      <x:c r="AJ123" s="26"/>
      <x:c r="AK123" s="26"/>
      <x:c r="AL123" s="26"/>
      <x:c r="AM123" s="26"/>
      <x:c r="AN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  <x:c r="AA124" s="26"/>
      <x:c r="AB124" s="26"/>
      <x:c r="AC124" s="26"/>
      <x:c r="AD124" s="26"/>
      <x:c r="AE124" s="26"/>
      <x:c r="AF124" s="26"/>
      <x:c r="AG124" s="26"/>
      <x:c r="AH124" s="26"/>
      <x:c r="AI124" s="26"/>
      <x:c r="AJ124" s="26"/>
      <x:c r="AK124" s="26"/>
      <x:c r="AL124" s="26"/>
      <x:c r="AM124" s="26"/>
      <x:c r="AN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  <x:c r="AA125" s="26"/>
      <x:c r="AB125" s="26"/>
      <x:c r="AC125" s="26"/>
      <x:c r="AD125" s="26"/>
      <x:c r="AE125" s="26"/>
      <x:c r="AF125" s="26"/>
      <x:c r="AG125" s="26"/>
      <x:c r="AH125" s="26"/>
      <x:c r="AI125" s="26"/>
      <x:c r="AJ125" s="26"/>
      <x:c r="AK125" s="26"/>
      <x:c r="AL125" s="26"/>
      <x:c r="AM125" s="26"/>
      <x:c r="AN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  <x:c r="AA126" s="26"/>
      <x:c r="AB126" s="26"/>
      <x:c r="AC126" s="26"/>
      <x:c r="AD126" s="26"/>
      <x:c r="AE126" s="26"/>
      <x:c r="AF126" s="26"/>
      <x:c r="AG126" s="26"/>
      <x:c r="AH126" s="26"/>
      <x:c r="AI126" s="26"/>
      <x:c r="AJ126" s="26"/>
      <x:c r="AK126" s="26"/>
      <x:c r="AL126" s="26"/>
      <x:c r="AM126" s="26"/>
      <x:c r="AN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  <x:c r="AA127" s="26"/>
      <x:c r="AB127" s="26"/>
      <x:c r="AC127" s="26"/>
      <x:c r="AD127" s="26"/>
      <x:c r="AE127" s="26"/>
      <x:c r="AF127" s="26"/>
      <x:c r="AG127" s="26"/>
      <x:c r="AH127" s="26"/>
      <x:c r="AI127" s="26"/>
      <x:c r="AJ127" s="26"/>
      <x:c r="AK127" s="26"/>
      <x:c r="AL127" s="26"/>
      <x:c r="AM127" s="26"/>
      <x:c r="AN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  <x:c r="AA128" s="26"/>
      <x:c r="AB128" s="26"/>
      <x:c r="AC128" s="26"/>
      <x:c r="AD128" s="26"/>
      <x:c r="AE128" s="26"/>
      <x:c r="AF128" s="26"/>
      <x:c r="AG128" s="26"/>
      <x:c r="AH128" s="26"/>
      <x:c r="AI128" s="26"/>
      <x:c r="AJ128" s="26"/>
      <x:c r="AK128" s="26"/>
      <x:c r="AL128" s="26"/>
      <x:c r="AM128" s="26"/>
      <x:c r="AN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  <x:c r="AA129" s="26"/>
      <x:c r="AB129" s="26"/>
      <x:c r="AC129" s="26"/>
      <x:c r="AD129" s="26"/>
      <x:c r="AE129" s="26"/>
      <x:c r="AF129" s="26"/>
      <x:c r="AG129" s="26"/>
      <x:c r="AH129" s="26"/>
      <x:c r="AI129" s="26"/>
      <x:c r="AJ129" s="26"/>
      <x:c r="AK129" s="26"/>
      <x:c r="AL129" s="26"/>
      <x:c r="AM129" s="26"/>
      <x:c r="AN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  <x:c r="AA130" s="26"/>
      <x:c r="AB130" s="26"/>
      <x:c r="AC130" s="26"/>
      <x:c r="AD130" s="26"/>
      <x:c r="AE130" s="26"/>
      <x:c r="AF130" s="26"/>
      <x:c r="AG130" s="26"/>
      <x:c r="AH130" s="26"/>
      <x:c r="AI130" s="26"/>
      <x:c r="AJ130" s="26"/>
      <x:c r="AK130" s="26"/>
      <x:c r="AL130" s="26"/>
      <x:c r="AM130" s="26"/>
      <x:c r="AN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  <x:c r="AA131" s="26"/>
      <x:c r="AB131" s="26"/>
      <x:c r="AC131" s="26"/>
      <x:c r="AD131" s="26"/>
      <x:c r="AE131" s="26"/>
      <x:c r="AF131" s="26"/>
      <x:c r="AG131" s="26"/>
      <x:c r="AH131" s="26"/>
      <x:c r="AI131" s="26"/>
      <x:c r="AJ131" s="26"/>
      <x:c r="AK131" s="26"/>
      <x:c r="AL131" s="26"/>
      <x:c r="AM131" s="26"/>
      <x:c r="AN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  <x:c r="AA132" s="26"/>
      <x:c r="AB132" s="26"/>
      <x:c r="AC132" s="26"/>
      <x:c r="AD132" s="26"/>
      <x:c r="AE132" s="26"/>
      <x:c r="AF132" s="26"/>
      <x:c r="AG132" s="26"/>
      <x:c r="AH132" s="26"/>
      <x:c r="AI132" s="26"/>
      <x:c r="AJ132" s="26"/>
      <x:c r="AK132" s="26"/>
      <x:c r="AL132" s="26"/>
      <x:c r="AM132" s="26"/>
      <x:c r="AN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  <x:c r="AA133" s="26"/>
      <x:c r="AB133" s="26"/>
      <x:c r="AC133" s="26"/>
      <x:c r="AD133" s="26"/>
      <x:c r="AE133" s="26"/>
      <x:c r="AF133" s="26"/>
      <x:c r="AG133" s="26"/>
      <x:c r="AH133" s="26"/>
      <x:c r="AI133" s="26"/>
      <x:c r="AJ133" s="26"/>
      <x:c r="AK133" s="26"/>
      <x:c r="AL133" s="26"/>
      <x:c r="AM133" s="26"/>
      <x:c r="AN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  <x:c r="AA134" s="26"/>
      <x:c r="AB134" s="26"/>
      <x:c r="AC134" s="26"/>
      <x:c r="AD134" s="26"/>
      <x:c r="AE134" s="26"/>
      <x:c r="AF134" s="26"/>
      <x:c r="AG134" s="26"/>
      <x:c r="AH134" s="26"/>
      <x:c r="AI134" s="26"/>
      <x:c r="AJ134" s="26"/>
      <x:c r="AK134" s="26"/>
      <x:c r="AL134" s="26"/>
      <x:c r="AM134" s="26"/>
      <x:c r="AN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  <x:c r="AA135" s="26"/>
      <x:c r="AB135" s="26"/>
      <x:c r="AC135" s="26"/>
      <x:c r="AD135" s="26"/>
      <x:c r="AE135" s="26"/>
      <x:c r="AF135" s="26"/>
      <x:c r="AG135" s="26"/>
      <x:c r="AH135" s="26"/>
      <x:c r="AI135" s="26"/>
      <x:c r="AJ135" s="26"/>
      <x:c r="AK135" s="26"/>
      <x:c r="AL135" s="26"/>
      <x:c r="AM135" s="26"/>
      <x:c r="AN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  <x:c r="AA136" s="26"/>
      <x:c r="AB136" s="26"/>
      <x:c r="AC136" s="26"/>
      <x:c r="AD136" s="26"/>
      <x:c r="AE136" s="26"/>
      <x:c r="AF136" s="26"/>
      <x:c r="AG136" s="26"/>
      <x:c r="AH136" s="26"/>
      <x:c r="AI136" s="26"/>
      <x:c r="AJ136" s="26"/>
      <x:c r="AK136" s="26"/>
      <x:c r="AL136" s="26"/>
      <x:c r="AM136" s="26"/>
      <x:c r="AN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  <x:c r="AA137" s="26"/>
      <x:c r="AB137" s="26"/>
      <x:c r="AC137" s="26"/>
      <x:c r="AD137" s="26"/>
      <x:c r="AE137" s="26"/>
      <x:c r="AF137" s="26"/>
      <x:c r="AG137" s="26"/>
      <x:c r="AH137" s="26"/>
      <x:c r="AI137" s="26"/>
      <x:c r="AJ137" s="26"/>
      <x:c r="AK137" s="26"/>
      <x:c r="AL137" s="26"/>
      <x:c r="AM137" s="26"/>
      <x:c r="AN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  <x:c r="AA138" s="26"/>
      <x:c r="AB138" s="26"/>
      <x:c r="AC138" s="26"/>
      <x:c r="AD138" s="26"/>
      <x:c r="AE138" s="26"/>
      <x:c r="AF138" s="26"/>
      <x:c r="AG138" s="26"/>
      <x:c r="AH138" s="26"/>
      <x:c r="AI138" s="26"/>
      <x:c r="AJ138" s="26"/>
      <x:c r="AK138" s="26"/>
      <x:c r="AL138" s="26"/>
      <x:c r="AM138" s="26"/>
      <x:c r="AN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  <x:c r="AA139" s="26"/>
      <x:c r="AB139" s="26"/>
      <x:c r="AC139" s="26"/>
      <x:c r="AD139" s="26"/>
      <x:c r="AE139" s="26"/>
      <x:c r="AF139" s="26"/>
      <x:c r="AG139" s="26"/>
      <x:c r="AH139" s="26"/>
      <x:c r="AI139" s="26"/>
      <x:c r="AJ139" s="26"/>
      <x:c r="AK139" s="26"/>
      <x:c r="AL139" s="26"/>
      <x:c r="AM139" s="26"/>
      <x:c r="AN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  <x:c r="AA140" s="26"/>
      <x:c r="AB140" s="26"/>
      <x:c r="AC140" s="26"/>
      <x:c r="AD140" s="26"/>
      <x:c r="AE140" s="26"/>
      <x:c r="AF140" s="26"/>
      <x:c r="AG140" s="26"/>
      <x:c r="AH140" s="26"/>
      <x:c r="AI140" s="26"/>
      <x:c r="AJ140" s="26"/>
      <x:c r="AK140" s="26"/>
      <x:c r="AL140" s="26"/>
      <x:c r="AM140" s="26"/>
      <x:c r="AN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  <x:c r="AA141" s="26"/>
      <x:c r="AB141" s="26"/>
      <x:c r="AC141" s="26"/>
      <x:c r="AD141" s="26"/>
      <x:c r="AE141" s="26"/>
      <x:c r="AF141" s="26"/>
      <x:c r="AG141" s="26"/>
      <x:c r="AH141" s="26"/>
      <x:c r="AI141" s="26"/>
      <x:c r="AJ141" s="26"/>
      <x:c r="AK141" s="26"/>
      <x:c r="AL141" s="26"/>
      <x:c r="AM141" s="26"/>
      <x:c r="AN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  <x:c r="AA142" s="26"/>
      <x:c r="AB142" s="26"/>
      <x:c r="AC142" s="26"/>
      <x:c r="AD142" s="26"/>
      <x:c r="AE142" s="26"/>
      <x:c r="AF142" s="26"/>
      <x:c r="AG142" s="26"/>
      <x:c r="AH142" s="26"/>
      <x:c r="AI142" s="26"/>
      <x:c r="AJ142" s="26"/>
      <x:c r="AK142" s="26"/>
      <x:c r="AL142" s="26"/>
      <x:c r="AM142" s="26"/>
      <x:c r="AN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  <x:c r="AA143" s="26"/>
      <x:c r="AB143" s="26"/>
      <x:c r="AC143" s="26"/>
      <x:c r="AD143" s="26"/>
      <x:c r="AE143" s="26"/>
      <x:c r="AF143" s="26"/>
      <x:c r="AG143" s="26"/>
      <x:c r="AH143" s="26"/>
      <x:c r="AI143" s="26"/>
      <x:c r="AJ143" s="26"/>
      <x:c r="AK143" s="26"/>
      <x:c r="AL143" s="26"/>
      <x:c r="AM143" s="26"/>
      <x:c r="AN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  <x:c r="AA144" s="26"/>
      <x:c r="AB144" s="26"/>
      <x:c r="AC144" s="26"/>
      <x:c r="AD144" s="26"/>
      <x:c r="AE144" s="26"/>
      <x:c r="AF144" s="26"/>
      <x:c r="AG144" s="26"/>
      <x:c r="AH144" s="26"/>
      <x:c r="AI144" s="26"/>
      <x:c r="AJ144" s="26"/>
      <x:c r="AK144" s="26"/>
      <x:c r="AL144" s="26"/>
      <x:c r="AM144" s="26"/>
      <x:c r="AN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  <x:c r="AA145" s="26"/>
      <x:c r="AB145" s="26"/>
      <x:c r="AC145" s="26"/>
      <x:c r="AD145" s="26"/>
      <x:c r="AE145" s="26"/>
      <x:c r="AF145" s="26"/>
      <x:c r="AG145" s="26"/>
      <x:c r="AH145" s="26"/>
      <x:c r="AI145" s="26"/>
      <x:c r="AJ145" s="26"/>
      <x:c r="AK145" s="26"/>
      <x:c r="AL145" s="26"/>
      <x:c r="AM145" s="26"/>
      <x:c r="AN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  <x:c r="AA146" s="26"/>
      <x:c r="AB146" s="26"/>
      <x:c r="AC146" s="26"/>
      <x:c r="AD146" s="26"/>
      <x:c r="AE146" s="26"/>
      <x:c r="AF146" s="26"/>
      <x:c r="AG146" s="26"/>
      <x:c r="AH146" s="26"/>
      <x:c r="AI146" s="26"/>
      <x:c r="AJ146" s="26"/>
      <x:c r="AK146" s="26"/>
      <x:c r="AL146" s="26"/>
      <x:c r="AM146" s="26"/>
      <x:c r="AN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  <x:c r="AA147" s="26"/>
      <x:c r="AB147" s="26"/>
      <x:c r="AC147" s="26"/>
      <x:c r="AD147" s="26"/>
      <x:c r="AE147" s="26"/>
      <x:c r="AF147" s="26"/>
      <x:c r="AG147" s="26"/>
      <x:c r="AH147" s="26"/>
      <x:c r="AI147" s="26"/>
      <x:c r="AJ147" s="26"/>
      <x:c r="AK147" s="26"/>
      <x:c r="AL147" s="26"/>
      <x:c r="AM147" s="26"/>
      <x:c r="AN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  <x:c r="AA148" s="26"/>
      <x:c r="AB148" s="26"/>
      <x:c r="AC148" s="26"/>
      <x:c r="AD148" s="26"/>
      <x:c r="AE148" s="26"/>
      <x:c r="AF148" s="26"/>
      <x:c r="AG148" s="26"/>
      <x:c r="AH148" s="26"/>
      <x:c r="AI148" s="26"/>
      <x:c r="AJ148" s="26"/>
      <x:c r="AK148" s="26"/>
      <x:c r="AL148" s="26"/>
      <x:c r="AM148" s="26"/>
      <x:c r="AN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  <x:c r="AA149" s="26"/>
      <x:c r="AB149" s="26"/>
      <x:c r="AC149" s="26"/>
      <x:c r="AD149" s="26"/>
      <x:c r="AE149" s="26"/>
      <x:c r="AF149" s="26"/>
      <x:c r="AG149" s="26"/>
      <x:c r="AH149" s="26"/>
      <x:c r="AI149" s="26"/>
      <x:c r="AJ149" s="26"/>
      <x:c r="AK149" s="26"/>
      <x:c r="AL149" s="26"/>
      <x:c r="AM149" s="26"/>
      <x:c r="AN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  <x:c r="AA150" s="26"/>
      <x:c r="AB150" s="26"/>
      <x:c r="AC150" s="26"/>
      <x:c r="AD150" s="26"/>
      <x:c r="AE150" s="26"/>
      <x:c r="AF150" s="26"/>
      <x:c r="AG150" s="26"/>
      <x:c r="AH150" s="26"/>
      <x:c r="AI150" s="26"/>
      <x:c r="AJ150" s="26"/>
      <x:c r="AK150" s="26"/>
      <x:c r="AL150" s="26"/>
      <x:c r="AM150" s="26"/>
      <x:c r="AN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  <x:c r="AA151" s="26"/>
      <x:c r="AB151" s="26"/>
      <x:c r="AC151" s="26"/>
      <x:c r="AD151" s="26"/>
      <x:c r="AE151" s="26"/>
      <x:c r="AF151" s="26"/>
      <x:c r="AG151" s="26"/>
      <x:c r="AH151" s="26"/>
      <x:c r="AI151" s="26"/>
      <x:c r="AJ151" s="26"/>
      <x:c r="AK151" s="26"/>
      <x:c r="AL151" s="26"/>
      <x:c r="AM151" s="26"/>
      <x:c r="AN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  <x:c r="AA152" s="26"/>
      <x:c r="AB152" s="26"/>
      <x:c r="AC152" s="26"/>
      <x:c r="AD152" s="26"/>
      <x:c r="AE152" s="26"/>
      <x:c r="AF152" s="26"/>
      <x:c r="AG152" s="26"/>
      <x:c r="AH152" s="26"/>
      <x:c r="AI152" s="26"/>
      <x:c r="AJ152" s="26"/>
      <x:c r="AK152" s="26"/>
      <x:c r="AL152" s="26"/>
      <x:c r="AM152" s="26"/>
      <x:c r="AN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  <x:c r="AA153" s="26"/>
      <x:c r="AB153" s="26"/>
      <x:c r="AC153" s="26"/>
      <x:c r="AD153" s="26"/>
      <x:c r="AE153" s="26"/>
      <x:c r="AF153" s="26"/>
      <x:c r="AG153" s="26"/>
      <x:c r="AH153" s="26"/>
      <x:c r="AI153" s="26"/>
      <x:c r="AJ153" s="26"/>
      <x:c r="AK153" s="26"/>
      <x:c r="AL153" s="26"/>
      <x:c r="AM153" s="26"/>
      <x:c r="AN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  <x:c r="AA154" s="26"/>
      <x:c r="AB154" s="26"/>
      <x:c r="AC154" s="26"/>
      <x:c r="AD154" s="26"/>
      <x:c r="AE154" s="26"/>
      <x:c r="AF154" s="26"/>
      <x:c r="AG154" s="26"/>
      <x:c r="AH154" s="26"/>
      <x:c r="AI154" s="26"/>
      <x:c r="AJ154" s="26"/>
      <x:c r="AK154" s="26"/>
      <x:c r="AL154" s="26"/>
      <x:c r="AM154" s="26"/>
      <x:c r="AN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  <x:c r="AA155" s="26"/>
      <x:c r="AB155" s="26"/>
      <x:c r="AC155" s="26"/>
      <x:c r="AD155" s="26"/>
      <x:c r="AE155" s="26"/>
      <x:c r="AF155" s="26"/>
      <x:c r="AG155" s="26"/>
      <x:c r="AH155" s="26"/>
      <x:c r="AI155" s="26"/>
      <x:c r="AJ155" s="26"/>
      <x:c r="AK155" s="26"/>
      <x:c r="AL155" s="26"/>
      <x:c r="AM155" s="26"/>
      <x:c r="AN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  <x:c r="AA156" s="26"/>
      <x:c r="AB156" s="26"/>
      <x:c r="AC156" s="26"/>
      <x:c r="AD156" s="26"/>
      <x:c r="AE156" s="26"/>
      <x:c r="AF156" s="26"/>
      <x:c r="AG156" s="26"/>
      <x:c r="AH156" s="26"/>
      <x:c r="AI156" s="26"/>
      <x:c r="AJ156" s="26"/>
      <x:c r="AK156" s="26"/>
      <x:c r="AL156" s="26"/>
      <x:c r="AM156" s="26"/>
      <x:c r="AN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  <x:c r="AA157" s="26"/>
      <x:c r="AB157" s="26"/>
      <x:c r="AC157" s="26"/>
      <x:c r="AD157" s="26"/>
      <x:c r="AE157" s="26"/>
      <x:c r="AF157" s="26"/>
      <x:c r="AG157" s="26"/>
      <x:c r="AH157" s="26"/>
      <x:c r="AI157" s="26"/>
      <x:c r="AJ157" s="26"/>
      <x:c r="AK157" s="26"/>
      <x:c r="AL157" s="26"/>
      <x:c r="AM157" s="26"/>
      <x:c r="AN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  <x:c r="AA158" s="26"/>
      <x:c r="AB158" s="26"/>
      <x:c r="AC158" s="26"/>
      <x:c r="AD158" s="26"/>
      <x:c r="AE158" s="26"/>
      <x:c r="AF158" s="26"/>
      <x:c r="AG158" s="26"/>
      <x:c r="AH158" s="26"/>
      <x:c r="AI158" s="26"/>
      <x:c r="AJ158" s="26"/>
      <x:c r="AK158" s="26"/>
      <x:c r="AL158" s="26"/>
      <x:c r="AM158" s="26"/>
      <x:c r="AN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  <x:c r="AA159" s="26"/>
      <x:c r="AB159" s="26"/>
      <x:c r="AC159" s="26"/>
      <x:c r="AD159" s="26"/>
      <x:c r="AE159" s="26"/>
      <x:c r="AF159" s="26"/>
      <x:c r="AG159" s="26"/>
      <x:c r="AH159" s="26"/>
      <x:c r="AI159" s="26"/>
      <x:c r="AJ159" s="26"/>
      <x:c r="AK159" s="26"/>
      <x:c r="AL159" s="26"/>
      <x:c r="AM159" s="26"/>
      <x:c r="AN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  <x:c r="AA160" s="26"/>
      <x:c r="AB160" s="26"/>
      <x:c r="AC160" s="26"/>
      <x:c r="AD160" s="26"/>
      <x:c r="AE160" s="26"/>
      <x:c r="AF160" s="26"/>
      <x:c r="AG160" s="26"/>
      <x:c r="AH160" s="26"/>
      <x:c r="AI160" s="26"/>
      <x:c r="AJ160" s="26"/>
      <x:c r="AK160" s="26"/>
      <x:c r="AL160" s="26"/>
      <x:c r="AM160" s="26"/>
      <x:c r="AN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  <x:c r="AA161" s="26"/>
      <x:c r="AB161" s="26"/>
      <x:c r="AC161" s="26"/>
      <x:c r="AD161" s="26"/>
      <x:c r="AE161" s="26"/>
      <x:c r="AF161" s="26"/>
      <x:c r="AG161" s="26"/>
      <x:c r="AH161" s="26"/>
      <x:c r="AI161" s="26"/>
      <x:c r="AJ161" s="26"/>
      <x:c r="AK161" s="26"/>
      <x:c r="AL161" s="26"/>
      <x:c r="AM161" s="26"/>
      <x:c r="AN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  <x:c r="AA162" s="26"/>
      <x:c r="AB162" s="26"/>
      <x:c r="AC162" s="26"/>
      <x:c r="AD162" s="26"/>
      <x:c r="AE162" s="26"/>
      <x:c r="AF162" s="26"/>
      <x:c r="AG162" s="26"/>
      <x:c r="AH162" s="26"/>
      <x:c r="AI162" s="26"/>
      <x:c r="AJ162" s="26"/>
      <x:c r="AK162" s="26"/>
      <x:c r="AL162" s="26"/>
      <x:c r="AM162" s="26"/>
      <x:c r="AN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  <x:c r="AA163" s="26"/>
      <x:c r="AB163" s="26"/>
      <x:c r="AC163" s="26"/>
      <x:c r="AD163" s="26"/>
      <x:c r="AE163" s="26"/>
      <x:c r="AF163" s="26"/>
      <x:c r="AG163" s="26"/>
      <x:c r="AH163" s="26"/>
      <x:c r="AI163" s="26"/>
      <x:c r="AJ163" s="26"/>
      <x:c r="AK163" s="26"/>
      <x:c r="AL163" s="26"/>
      <x:c r="AM163" s="26"/>
      <x:c r="AN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  <x:c r="AA164" s="26"/>
      <x:c r="AB164" s="26"/>
      <x:c r="AC164" s="26"/>
      <x:c r="AD164" s="26"/>
      <x:c r="AE164" s="26"/>
      <x:c r="AF164" s="26"/>
      <x:c r="AG164" s="26"/>
      <x:c r="AH164" s="26"/>
      <x:c r="AI164" s="26"/>
      <x:c r="AJ164" s="26"/>
      <x:c r="AK164" s="26"/>
      <x:c r="AL164" s="26"/>
      <x:c r="AM164" s="26"/>
      <x:c r="AN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  <x:c r="AA165" s="26"/>
      <x:c r="AB165" s="26"/>
      <x:c r="AC165" s="26"/>
      <x:c r="AD165" s="26"/>
      <x:c r="AE165" s="26"/>
      <x:c r="AF165" s="26"/>
      <x:c r="AG165" s="26"/>
      <x:c r="AH165" s="26"/>
      <x:c r="AI165" s="26"/>
      <x:c r="AJ165" s="26"/>
      <x:c r="AK165" s="26"/>
      <x:c r="AL165" s="26"/>
      <x:c r="AM165" s="26"/>
      <x:c r="AN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  <x:c r="AA166" s="26"/>
      <x:c r="AB166" s="26"/>
      <x:c r="AC166" s="26"/>
      <x:c r="AD166" s="26"/>
      <x:c r="AE166" s="26"/>
      <x:c r="AF166" s="26"/>
      <x:c r="AG166" s="26"/>
      <x:c r="AH166" s="26"/>
      <x:c r="AI166" s="26"/>
      <x:c r="AJ166" s="26"/>
      <x:c r="AK166" s="26"/>
      <x:c r="AL166" s="26"/>
      <x:c r="AM166" s="26"/>
      <x:c r="AN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  <x:c r="AA167" s="26"/>
      <x:c r="AB167" s="26"/>
      <x:c r="AC167" s="26"/>
      <x:c r="AD167" s="26"/>
      <x:c r="AE167" s="26"/>
      <x:c r="AF167" s="26"/>
      <x:c r="AG167" s="26"/>
      <x:c r="AH167" s="26"/>
      <x:c r="AI167" s="26"/>
      <x:c r="AJ167" s="26"/>
      <x:c r="AK167" s="26"/>
      <x:c r="AL167" s="26"/>
      <x:c r="AM167" s="26"/>
      <x:c r="AN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  <x:c r="AA168" s="26"/>
      <x:c r="AB168" s="26"/>
      <x:c r="AC168" s="26"/>
      <x:c r="AD168" s="26"/>
      <x:c r="AE168" s="26"/>
      <x:c r="AF168" s="26"/>
      <x:c r="AG168" s="26"/>
      <x:c r="AH168" s="26"/>
      <x:c r="AI168" s="26"/>
      <x:c r="AJ168" s="26"/>
      <x:c r="AK168" s="26"/>
      <x:c r="AL168" s="26"/>
      <x:c r="AM168" s="26"/>
      <x:c r="AN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  <x:c r="AA169" s="26"/>
      <x:c r="AB169" s="26"/>
      <x:c r="AC169" s="26"/>
      <x:c r="AD169" s="26"/>
      <x:c r="AE169" s="26"/>
      <x:c r="AF169" s="26"/>
      <x:c r="AG169" s="26"/>
      <x:c r="AH169" s="26"/>
      <x:c r="AI169" s="26"/>
      <x:c r="AJ169" s="26"/>
      <x:c r="AK169" s="26"/>
      <x:c r="AL169" s="26"/>
      <x:c r="AM169" s="26"/>
      <x:c r="AN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  <x:c r="AA170" s="26"/>
      <x:c r="AB170" s="26"/>
      <x:c r="AC170" s="26"/>
      <x:c r="AD170" s="26"/>
      <x:c r="AE170" s="26"/>
      <x:c r="AF170" s="26"/>
      <x:c r="AG170" s="26"/>
      <x:c r="AH170" s="26"/>
      <x:c r="AI170" s="26"/>
      <x:c r="AJ170" s="26"/>
      <x:c r="AK170" s="26"/>
      <x:c r="AL170" s="26"/>
      <x:c r="AM170" s="26"/>
      <x:c r="AN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  <x:c r="AA171" s="26"/>
      <x:c r="AB171" s="26"/>
      <x:c r="AC171" s="26"/>
      <x:c r="AD171" s="26"/>
      <x:c r="AE171" s="26"/>
      <x:c r="AF171" s="26"/>
      <x:c r="AG171" s="26"/>
      <x:c r="AH171" s="26"/>
      <x:c r="AI171" s="26"/>
      <x:c r="AJ171" s="26"/>
      <x:c r="AK171" s="26"/>
      <x:c r="AL171" s="26"/>
      <x:c r="AM171" s="26"/>
      <x:c r="AN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  <x:c r="AA172" s="26"/>
      <x:c r="AB172" s="26"/>
      <x:c r="AC172" s="26"/>
      <x:c r="AD172" s="26"/>
      <x:c r="AE172" s="26"/>
      <x:c r="AF172" s="26"/>
      <x:c r="AG172" s="26"/>
      <x:c r="AH172" s="26"/>
      <x:c r="AI172" s="26"/>
      <x:c r="AJ172" s="26"/>
      <x:c r="AK172" s="26"/>
      <x:c r="AL172" s="26"/>
      <x:c r="AM172" s="26"/>
      <x:c r="AN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  <x:c r="AA173" s="26"/>
      <x:c r="AB173" s="26"/>
      <x:c r="AC173" s="26"/>
      <x:c r="AD173" s="26"/>
      <x:c r="AE173" s="26"/>
      <x:c r="AF173" s="26"/>
      <x:c r="AG173" s="26"/>
      <x:c r="AH173" s="26"/>
      <x:c r="AI173" s="26"/>
      <x:c r="AJ173" s="26"/>
      <x:c r="AK173" s="26"/>
      <x:c r="AL173" s="26"/>
      <x:c r="AM173" s="26"/>
      <x:c r="AN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  <x:c r="AA174" s="26"/>
      <x:c r="AB174" s="26"/>
      <x:c r="AC174" s="26"/>
      <x:c r="AD174" s="26"/>
      <x:c r="AE174" s="26"/>
      <x:c r="AF174" s="26"/>
      <x:c r="AG174" s="26"/>
      <x:c r="AH174" s="26"/>
      <x:c r="AI174" s="26"/>
      <x:c r="AJ174" s="26"/>
      <x:c r="AK174" s="26"/>
      <x:c r="AL174" s="26"/>
      <x:c r="AM174" s="26"/>
      <x:c r="AN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  <x:c r="AA175" s="26"/>
      <x:c r="AB175" s="26"/>
      <x:c r="AC175" s="26"/>
      <x:c r="AD175" s="26"/>
      <x:c r="AE175" s="26"/>
      <x:c r="AF175" s="26"/>
      <x:c r="AG175" s="26"/>
      <x:c r="AH175" s="26"/>
      <x:c r="AI175" s="26"/>
      <x:c r="AJ175" s="26"/>
      <x:c r="AK175" s="26"/>
      <x:c r="AL175" s="26"/>
      <x:c r="AM175" s="26"/>
      <x:c r="AN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  <x:c r="AA176" s="26"/>
      <x:c r="AB176" s="26"/>
      <x:c r="AC176" s="26"/>
      <x:c r="AD176" s="26"/>
      <x:c r="AE176" s="26"/>
      <x:c r="AF176" s="26"/>
      <x:c r="AG176" s="26"/>
      <x:c r="AH176" s="26"/>
      <x:c r="AI176" s="26"/>
      <x:c r="AJ176" s="26"/>
      <x:c r="AK176" s="26"/>
      <x:c r="AL176" s="26"/>
      <x:c r="AM176" s="26"/>
      <x:c r="AN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  <x:c r="AA177" s="26"/>
      <x:c r="AB177" s="26"/>
      <x:c r="AC177" s="26"/>
      <x:c r="AD177" s="26"/>
      <x:c r="AE177" s="26"/>
      <x:c r="AF177" s="26"/>
      <x:c r="AG177" s="26"/>
      <x:c r="AH177" s="26"/>
      <x:c r="AI177" s="26"/>
      <x:c r="AJ177" s="26"/>
      <x:c r="AK177" s="26"/>
      <x:c r="AL177" s="26"/>
      <x:c r="AM177" s="26"/>
      <x:c r="AN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  <x:c r="AA178" s="26"/>
      <x:c r="AB178" s="26"/>
      <x:c r="AC178" s="26"/>
      <x:c r="AD178" s="26"/>
      <x:c r="AE178" s="26"/>
      <x:c r="AF178" s="26"/>
      <x:c r="AG178" s="26"/>
      <x:c r="AH178" s="26"/>
      <x:c r="AI178" s="26"/>
      <x:c r="AJ178" s="26"/>
      <x:c r="AK178" s="26"/>
      <x:c r="AL178" s="26"/>
      <x:c r="AM178" s="26"/>
      <x:c r="AN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  <x:c r="AA179" s="26"/>
      <x:c r="AB179" s="26"/>
      <x:c r="AC179" s="26"/>
      <x:c r="AD179" s="26"/>
      <x:c r="AE179" s="26"/>
      <x:c r="AF179" s="26"/>
      <x:c r="AG179" s="26"/>
      <x:c r="AH179" s="26"/>
      <x:c r="AI179" s="26"/>
      <x:c r="AJ179" s="26"/>
      <x:c r="AK179" s="26"/>
      <x:c r="AL179" s="26"/>
      <x:c r="AM179" s="26"/>
      <x:c r="AN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  <x:c r="AA180" s="26"/>
      <x:c r="AB180" s="26"/>
      <x:c r="AC180" s="26"/>
      <x:c r="AD180" s="26"/>
      <x:c r="AE180" s="26"/>
      <x:c r="AF180" s="26"/>
      <x:c r="AG180" s="26"/>
      <x:c r="AH180" s="26"/>
      <x:c r="AI180" s="26"/>
      <x:c r="AJ180" s="26"/>
      <x:c r="AK180" s="26"/>
      <x:c r="AL180" s="26"/>
      <x:c r="AM180" s="26"/>
      <x:c r="AN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  <x:c r="AA181" s="26"/>
      <x:c r="AB181" s="26"/>
      <x:c r="AC181" s="26"/>
      <x:c r="AD181" s="26"/>
      <x:c r="AE181" s="26"/>
      <x:c r="AF181" s="26"/>
      <x:c r="AG181" s="26"/>
      <x:c r="AH181" s="26"/>
      <x:c r="AI181" s="26"/>
      <x:c r="AJ181" s="26"/>
      <x:c r="AK181" s="26"/>
      <x:c r="AL181" s="26"/>
      <x:c r="AM181" s="26"/>
      <x:c r="AN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  <x:c r="AA182" s="26"/>
      <x:c r="AB182" s="26"/>
      <x:c r="AC182" s="26"/>
      <x:c r="AD182" s="26"/>
      <x:c r="AE182" s="26"/>
      <x:c r="AF182" s="26"/>
      <x:c r="AG182" s="26"/>
      <x:c r="AH182" s="26"/>
      <x:c r="AI182" s="26"/>
      <x:c r="AJ182" s="26"/>
      <x:c r="AK182" s="26"/>
      <x:c r="AL182" s="26"/>
      <x:c r="AM182" s="26"/>
      <x:c r="AN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  <x:c r="AA183" s="26"/>
      <x:c r="AB183" s="26"/>
      <x:c r="AC183" s="26"/>
      <x:c r="AD183" s="26"/>
      <x:c r="AE183" s="26"/>
      <x:c r="AF183" s="26"/>
      <x:c r="AG183" s="26"/>
      <x:c r="AH183" s="26"/>
      <x:c r="AI183" s="26"/>
      <x:c r="AJ183" s="26"/>
      <x:c r="AK183" s="26"/>
      <x:c r="AL183" s="26"/>
      <x:c r="AM183" s="26"/>
      <x:c r="AN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  <x:c r="AA184" s="26"/>
      <x:c r="AB184" s="26"/>
      <x:c r="AC184" s="26"/>
      <x:c r="AD184" s="26"/>
      <x:c r="AE184" s="26"/>
      <x:c r="AF184" s="26"/>
      <x:c r="AG184" s="26"/>
      <x:c r="AH184" s="26"/>
      <x:c r="AI184" s="26"/>
      <x:c r="AJ184" s="26"/>
      <x:c r="AK184" s="26"/>
      <x:c r="AL184" s="26"/>
      <x:c r="AM184" s="26"/>
      <x:c r="AN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  <x:c r="AA185" s="26"/>
      <x:c r="AB185" s="26"/>
      <x:c r="AC185" s="26"/>
      <x:c r="AD185" s="26"/>
      <x:c r="AE185" s="26"/>
      <x:c r="AF185" s="26"/>
      <x:c r="AG185" s="26"/>
      <x:c r="AH185" s="26"/>
      <x:c r="AI185" s="26"/>
      <x:c r="AJ185" s="26"/>
      <x:c r="AK185" s="26"/>
      <x:c r="AL185" s="26"/>
      <x:c r="AM185" s="26"/>
      <x:c r="AN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  <x:c r="AA186" s="26"/>
      <x:c r="AB186" s="26"/>
      <x:c r="AC186" s="26"/>
      <x:c r="AD186" s="26"/>
      <x:c r="AE186" s="26"/>
      <x:c r="AF186" s="26"/>
      <x:c r="AG186" s="26"/>
      <x:c r="AH186" s="26"/>
      <x:c r="AI186" s="26"/>
      <x:c r="AJ186" s="26"/>
      <x:c r="AK186" s="26"/>
      <x:c r="AL186" s="26"/>
      <x:c r="AM186" s="26"/>
      <x:c r="AN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  <x:c r="AA187" s="26"/>
      <x:c r="AB187" s="26"/>
      <x:c r="AC187" s="26"/>
      <x:c r="AD187" s="26"/>
      <x:c r="AE187" s="26"/>
      <x:c r="AF187" s="26"/>
      <x:c r="AG187" s="26"/>
      <x:c r="AH187" s="26"/>
      <x:c r="AI187" s="26"/>
      <x:c r="AJ187" s="26"/>
      <x:c r="AK187" s="26"/>
      <x:c r="AL187" s="26"/>
      <x:c r="AM187" s="26"/>
      <x:c r="AN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  <x:c r="AA188" s="26"/>
      <x:c r="AB188" s="26"/>
      <x:c r="AC188" s="26"/>
      <x:c r="AD188" s="26"/>
      <x:c r="AE188" s="26"/>
      <x:c r="AF188" s="26"/>
      <x:c r="AG188" s="26"/>
      <x:c r="AH188" s="26"/>
      <x:c r="AI188" s="26"/>
      <x:c r="AJ188" s="26"/>
      <x:c r="AK188" s="26"/>
      <x:c r="AL188" s="26"/>
      <x:c r="AM188" s="26"/>
      <x:c r="AN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  <x:c r="AA189" s="26"/>
      <x:c r="AB189" s="26"/>
      <x:c r="AC189" s="26"/>
      <x:c r="AD189" s="26"/>
      <x:c r="AE189" s="26"/>
      <x:c r="AF189" s="26"/>
      <x:c r="AG189" s="26"/>
      <x:c r="AH189" s="26"/>
      <x:c r="AI189" s="26"/>
      <x:c r="AJ189" s="26"/>
      <x:c r="AK189" s="26"/>
      <x:c r="AL189" s="26"/>
      <x:c r="AM189" s="26"/>
      <x:c r="AN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  <x:c r="AA190" s="26"/>
      <x:c r="AB190" s="26"/>
      <x:c r="AC190" s="26"/>
      <x:c r="AD190" s="26"/>
      <x:c r="AE190" s="26"/>
      <x:c r="AF190" s="26"/>
      <x:c r="AG190" s="26"/>
      <x:c r="AH190" s="26"/>
      <x:c r="AI190" s="26"/>
      <x:c r="AJ190" s="26"/>
      <x:c r="AK190" s="26"/>
      <x:c r="AL190" s="26"/>
      <x:c r="AM190" s="26"/>
      <x:c r="AN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  <x:c r="AA191" s="26"/>
      <x:c r="AB191" s="26"/>
      <x:c r="AC191" s="26"/>
      <x:c r="AD191" s="26"/>
      <x:c r="AE191" s="26"/>
      <x:c r="AF191" s="26"/>
      <x:c r="AG191" s="26"/>
      <x:c r="AH191" s="26"/>
      <x:c r="AI191" s="26"/>
      <x:c r="AJ191" s="26"/>
      <x:c r="AK191" s="26"/>
      <x:c r="AL191" s="26"/>
      <x:c r="AM191" s="26"/>
      <x:c r="AN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  <x:c r="AA192" s="26"/>
      <x:c r="AB192" s="26"/>
      <x:c r="AC192" s="26"/>
      <x:c r="AD192" s="26"/>
      <x:c r="AE192" s="26"/>
      <x:c r="AF192" s="26"/>
      <x:c r="AG192" s="26"/>
      <x:c r="AH192" s="26"/>
      <x:c r="AI192" s="26"/>
      <x:c r="AJ192" s="26"/>
      <x:c r="AK192" s="26"/>
      <x:c r="AL192" s="26"/>
      <x:c r="AM192" s="26"/>
      <x:c r="AN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  <x:c r="AA193" s="26"/>
      <x:c r="AB193" s="26"/>
      <x:c r="AC193" s="26"/>
      <x:c r="AD193" s="26"/>
      <x:c r="AE193" s="26"/>
      <x:c r="AF193" s="26"/>
      <x:c r="AG193" s="26"/>
      <x:c r="AH193" s="26"/>
      <x:c r="AI193" s="26"/>
      <x:c r="AJ193" s="26"/>
      <x:c r="AK193" s="26"/>
      <x:c r="AL193" s="26"/>
      <x:c r="AM193" s="26"/>
      <x:c r="AN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  <x:c r="AA194" s="26"/>
      <x:c r="AB194" s="26"/>
      <x:c r="AC194" s="26"/>
      <x:c r="AD194" s="26"/>
      <x:c r="AE194" s="26"/>
      <x:c r="AF194" s="26"/>
      <x:c r="AG194" s="26"/>
      <x:c r="AH194" s="26"/>
      <x:c r="AI194" s="26"/>
      <x:c r="AJ194" s="26"/>
      <x:c r="AK194" s="26"/>
      <x:c r="AL194" s="26"/>
      <x:c r="AM194" s="26"/>
      <x:c r="AN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  <x:c r="AA195" s="26"/>
      <x:c r="AB195" s="26"/>
      <x:c r="AC195" s="26"/>
      <x:c r="AD195" s="26"/>
      <x:c r="AE195" s="26"/>
      <x:c r="AF195" s="26"/>
      <x:c r="AG195" s="26"/>
      <x:c r="AH195" s="26"/>
      <x:c r="AI195" s="26"/>
      <x:c r="AJ195" s="26"/>
      <x:c r="AK195" s="26"/>
      <x:c r="AL195" s="26"/>
      <x:c r="AM195" s="26"/>
      <x:c r="AN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  <x:c r="AA196" s="26"/>
      <x:c r="AB196" s="26"/>
      <x:c r="AC196" s="26"/>
      <x:c r="AD196" s="26"/>
      <x:c r="AE196" s="26"/>
      <x:c r="AF196" s="26"/>
      <x:c r="AG196" s="26"/>
      <x:c r="AH196" s="26"/>
      <x:c r="AI196" s="26"/>
      <x:c r="AJ196" s="26"/>
      <x:c r="AK196" s="26"/>
      <x:c r="AL196" s="26"/>
      <x:c r="AM196" s="26"/>
      <x:c r="AN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  <x:c r="AA197" s="26"/>
      <x:c r="AB197" s="26"/>
      <x:c r="AC197" s="26"/>
      <x:c r="AD197" s="26"/>
      <x:c r="AE197" s="26"/>
      <x:c r="AF197" s="26"/>
      <x:c r="AG197" s="26"/>
      <x:c r="AH197" s="26"/>
      <x:c r="AI197" s="26"/>
      <x:c r="AJ197" s="26"/>
      <x:c r="AK197" s="26"/>
      <x:c r="AL197" s="26"/>
      <x:c r="AM197" s="26"/>
      <x:c r="AN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  <x:c r="AA198" s="26"/>
      <x:c r="AB198" s="26"/>
      <x:c r="AC198" s="26"/>
      <x:c r="AD198" s="26"/>
      <x:c r="AE198" s="26"/>
      <x:c r="AF198" s="26"/>
      <x:c r="AG198" s="26"/>
      <x:c r="AH198" s="26"/>
      <x:c r="AI198" s="26"/>
      <x:c r="AJ198" s="26"/>
      <x:c r="AK198" s="26"/>
      <x:c r="AL198" s="26"/>
      <x:c r="AM198" s="26"/>
      <x:c r="AN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  <x:c r="AA199" s="26"/>
      <x:c r="AB199" s="26"/>
      <x:c r="AC199" s="26"/>
      <x:c r="AD199" s="26"/>
      <x:c r="AE199" s="26"/>
      <x:c r="AF199" s="26"/>
      <x:c r="AG199" s="26"/>
      <x:c r="AH199" s="26"/>
      <x:c r="AI199" s="26"/>
      <x:c r="AJ199" s="26"/>
      <x:c r="AK199" s="26"/>
      <x:c r="AL199" s="26"/>
      <x:c r="AM199" s="26"/>
      <x:c r="AN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  <x:c r="AA200" s="26"/>
      <x:c r="AB200" s="26"/>
      <x:c r="AC200" s="26"/>
      <x:c r="AD200" s="26"/>
      <x:c r="AE200" s="26"/>
      <x:c r="AF200" s="26"/>
      <x:c r="AG200" s="26"/>
      <x:c r="AH200" s="26"/>
      <x:c r="AI200" s="26"/>
      <x:c r="AJ200" s="26"/>
      <x:c r="AK200" s="26"/>
      <x:c r="AL200" s="26"/>
      <x:c r="AM200" s="26"/>
      <x:c r="AN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  <x:c r="AA201" s="26"/>
      <x:c r="AB201" s="26"/>
      <x:c r="AC201" s="26"/>
      <x:c r="AD201" s="26"/>
      <x:c r="AE201" s="26"/>
      <x:c r="AF201" s="26"/>
      <x:c r="AG201" s="26"/>
      <x:c r="AH201" s="26"/>
      <x:c r="AI201" s="26"/>
      <x:c r="AJ201" s="26"/>
      <x:c r="AK201" s="26"/>
      <x:c r="AL201" s="26"/>
      <x:c r="AM201" s="26"/>
      <x:c r="AN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  <x:c r="AA202" s="26"/>
      <x:c r="AB202" s="26"/>
      <x:c r="AC202" s="26"/>
      <x:c r="AD202" s="26"/>
      <x:c r="AE202" s="26"/>
      <x:c r="AF202" s="26"/>
      <x:c r="AG202" s="26"/>
      <x:c r="AH202" s="26"/>
      <x:c r="AI202" s="26"/>
      <x:c r="AJ202" s="26"/>
      <x:c r="AK202" s="26"/>
      <x:c r="AL202" s="26"/>
      <x:c r="AM202" s="26"/>
      <x:c r="AN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  <x:c r="AA203" s="26"/>
      <x:c r="AB203" s="26"/>
      <x:c r="AC203" s="26"/>
      <x:c r="AD203" s="26"/>
      <x:c r="AE203" s="26"/>
      <x:c r="AF203" s="26"/>
      <x:c r="AG203" s="26"/>
      <x:c r="AH203" s="26"/>
      <x:c r="AI203" s="26"/>
      <x:c r="AJ203" s="26"/>
      <x:c r="AK203" s="26"/>
      <x:c r="AL203" s="26"/>
      <x:c r="AM203" s="26"/>
      <x:c r="AN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  <x:c r="AA204" s="26"/>
      <x:c r="AB204" s="26"/>
      <x:c r="AC204" s="26"/>
      <x:c r="AD204" s="26"/>
      <x:c r="AE204" s="26"/>
      <x:c r="AF204" s="26"/>
      <x:c r="AG204" s="26"/>
      <x:c r="AH204" s="26"/>
      <x:c r="AI204" s="26"/>
      <x:c r="AJ204" s="26"/>
      <x:c r="AK204" s="26"/>
      <x:c r="AL204" s="26"/>
      <x:c r="AM204" s="26"/>
      <x:c r="AN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  <x:c r="AA205" s="26"/>
      <x:c r="AB205" s="26"/>
      <x:c r="AC205" s="26"/>
      <x:c r="AD205" s="26"/>
      <x:c r="AE205" s="26"/>
      <x:c r="AF205" s="26"/>
      <x:c r="AG205" s="26"/>
      <x:c r="AH205" s="26"/>
      <x:c r="AI205" s="26"/>
      <x:c r="AJ205" s="26"/>
      <x:c r="AK205" s="26"/>
      <x:c r="AL205" s="26"/>
      <x:c r="AM205" s="26"/>
      <x:c r="AN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  <x:c r="AA206" s="26"/>
      <x:c r="AB206" s="26"/>
      <x:c r="AC206" s="26"/>
      <x:c r="AD206" s="26"/>
      <x:c r="AE206" s="26"/>
      <x:c r="AF206" s="26"/>
      <x:c r="AG206" s="26"/>
      <x:c r="AH206" s="26"/>
      <x:c r="AI206" s="26"/>
      <x:c r="AJ206" s="26"/>
      <x:c r="AK206" s="26"/>
      <x:c r="AL206" s="26"/>
      <x:c r="AM206" s="26"/>
      <x:c r="AN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  <x:c r="AA207" s="26"/>
      <x:c r="AB207" s="26"/>
      <x:c r="AC207" s="26"/>
      <x:c r="AD207" s="26"/>
      <x:c r="AE207" s="26"/>
      <x:c r="AF207" s="26"/>
      <x:c r="AG207" s="26"/>
      <x:c r="AH207" s="26"/>
      <x:c r="AI207" s="26"/>
      <x:c r="AJ207" s="26"/>
      <x:c r="AK207" s="26"/>
      <x:c r="AL207" s="26"/>
      <x:c r="AM207" s="26"/>
      <x:c r="AN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  <x:c r="AA208" s="26"/>
      <x:c r="AB208" s="26"/>
      <x:c r="AC208" s="26"/>
      <x:c r="AD208" s="26"/>
      <x:c r="AE208" s="26"/>
      <x:c r="AF208" s="26"/>
      <x:c r="AG208" s="26"/>
      <x:c r="AH208" s="26"/>
      <x:c r="AI208" s="26"/>
      <x:c r="AJ208" s="26"/>
      <x:c r="AK208" s="26"/>
      <x:c r="AL208" s="26"/>
      <x:c r="AM208" s="26"/>
      <x:c r="AN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  <x:c r="AA209" s="26"/>
      <x:c r="AB209" s="26"/>
      <x:c r="AC209" s="26"/>
      <x:c r="AD209" s="26"/>
      <x:c r="AE209" s="26"/>
      <x:c r="AF209" s="26"/>
      <x:c r="AG209" s="26"/>
      <x:c r="AH209" s="26"/>
      <x:c r="AI209" s="26"/>
      <x:c r="AJ209" s="26"/>
      <x:c r="AK209" s="26"/>
      <x:c r="AL209" s="26"/>
      <x:c r="AM209" s="26"/>
      <x:c r="AN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  <x:c r="AA210" s="26"/>
      <x:c r="AB210" s="26"/>
      <x:c r="AC210" s="26"/>
      <x:c r="AD210" s="26"/>
      <x:c r="AE210" s="26"/>
      <x:c r="AF210" s="26"/>
      <x:c r="AG210" s="26"/>
      <x:c r="AH210" s="26"/>
      <x:c r="AI210" s="26"/>
      <x:c r="AJ210" s="26"/>
      <x:c r="AK210" s="26"/>
      <x:c r="AL210" s="26"/>
      <x:c r="AM210" s="26"/>
      <x:c r="AN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  <x:c r="AA211" s="26"/>
      <x:c r="AB211" s="26"/>
      <x:c r="AC211" s="26"/>
      <x:c r="AD211" s="26"/>
      <x:c r="AE211" s="26"/>
      <x:c r="AF211" s="26"/>
      <x:c r="AG211" s="26"/>
      <x:c r="AH211" s="26"/>
      <x:c r="AI211" s="26"/>
      <x:c r="AJ211" s="26"/>
      <x:c r="AK211" s="26"/>
      <x:c r="AL211" s="26"/>
      <x:c r="AM211" s="26"/>
      <x:c r="AN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  <x:c r="AA212" s="26"/>
      <x:c r="AB212" s="26"/>
      <x:c r="AC212" s="26"/>
      <x:c r="AD212" s="26"/>
      <x:c r="AE212" s="26"/>
      <x:c r="AF212" s="26"/>
      <x:c r="AG212" s="26"/>
      <x:c r="AH212" s="26"/>
      <x:c r="AI212" s="26"/>
      <x:c r="AJ212" s="26"/>
      <x:c r="AK212" s="26"/>
      <x:c r="AL212" s="26"/>
      <x:c r="AM212" s="26"/>
      <x:c r="AN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  <x:c r="AA213" s="26"/>
      <x:c r="AB213" s="26"/>
      <x:c r="AC213" s="26"/>
      <x:c r="AD213" s="26"/>
      <x:c r="AE213" s="26"/>
      <x:c r="AF213" s="26"/>
      <x:c r="AG213" s="26"/>
      <x:c r="AH213" s="26"/>
      <x:c r="AI213" s="26"/>
      <x:c r="AJ213" s="26"/>
      <x:c r="AK213" s="26"/>
      <x:c r="AL213" s="26"/>
      <x:c r="AM213" s="26"/>
      <x:c r="AN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  <x:c r="AA214" s="26"/>
      <x:c r="AB214" s="26"/>
      <x:c r="AC214" s="26"/>
      <x:c r="AD214" s="26"/>
      <x:c r="AE214" s="26"/>
      <x:c r="AF214" s="26"/>
      <x:c r="AG214" s="26"/>
      <x:c r="AH214" s="26"/>
      <x:c r="AI214" s="26"/>
      <x:c r="AJ214" s="26"/>
      <x:c r="AK214" s="26"/>
      <x:c r="AL214" s="26"/>
      <x:c r="AM214" s="26"/>
      <x:c r="AN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  <x:c r="AA215" s="26"/>
      <x:c r="AB215" s="26"/>
      <x:c r="AC215" s="26"/>
      <x:c r="AD215" s="26"/>
      <x:c r="AE215" s="26"/>
      <x:c r="AF215" s="26"/>
      <x:c r="AG215" s="26"/>
      <x:c r="AH215" s="26"/>
      <x:c r="AI215" s="26"/>
      <x:c r="AJ215" s="26"/>
      <x:c r="AK215" s="26"/>
      <x:c r="AL215" s="26"/>
      <x:c r="AM215" s="26"/>
      <x:c r="AN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  <x:c r="AA216" s="26"/>
      <x:c r="AB216" s="26"/>
      <x:c r="AC216" s="26"/>
      <x:c r="AD216" s="26"/>
      <x:c r="AE216" s="26"/>
      <x:c r="AF216" s="26"/>
      <x:c r="AG216" s="26"/>
      <x:c r="AH216" s="26"/>
      <x:c r="AI216" s="26"/>
      <x:c r="AJ216" s="26"/>
      <x:c r="AK216" s="26"/>
      <x:c r="AL216" s="26"/>
      <x:c r="AM216" s="26"/>
      <x:c r="AN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  <x:c r="AA217" s="26"/>
      <x:c r="AB217" s="26"/>
      <x:c r="AC217" s="26"/>
      <x:c r="AD217" s="26"/>
      <x:c r="AE217" s="26"/>
      <x:c r="AF217" s="26"/>
      <x:c r="AG217" s="26"/>
      <x:c r="AH217" s="26"/>
      <x:c r="AI217" s="26"/>
      <x:c r="AJ217" s="26"/>
      <x:c r="AK217" s="26"/>
      <x:c r="AL217" s="26"/>
      <x:c r="AM217" s="26"/>
      <x:c r="AN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  <x:c r="AA218" s="26"/>
      <x:c r="AB218" s="26"/>
      <x:c r="AC218" s="26"/>
      <x:c r="AD218" s="26"/>
      <x:c r="AE218" s="26"/>
      <x:c r="AF218" s="26"/>
      <x:c r="AG218" s="26"/>
      <x:c r="AH218" s="26"/>
      <x:c r="AI218" s="26"/>
      <x:c r="AJ218" s="26"/>
      <x:c r="AK218" s="26"/>
      <x:c r="AL218" s="26"/>
      <x:c r="AM218" s="26"/>
      <x:c r="AN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  <x:c r="AA219" s="26"/>
      <x:c r="AB219" s="26"/>
      <x:c r="AC219" s="26"/>
      <x:c r="AD219" s="26"/>
      <x:c r="AE219" s="26"/>
      <x:c r="AF219" s="26"/>
      <x:c r="AG219" s="26"/>
      <x:c r="AH219" s="26"/>
      <x:c r="AI219" s="26"/>
      <x:c r="AJ219" s="26"/>
      <x:c r="AK219" s="26"/>
      <x:c r="AL219" s="26"/>
      <x:c r="AM219" s="26"/>
      <x:c r="AN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  <x:c r="AA220" s="26"/>
      <x:c r="AB220" s="26"/>
      <x:c r="AC220" s="26"/>
      <x:c r="AD220" s="26"/>
      <x:c r="AE220" s="26"/>
      <x:c r="AF220" s="26"/>
      <x:c r="AG220" s="26"/>
      <x:c r="AH220" s="26"/>
      <x:c r="AI220" s="26"/>
      <x:c r="AJ220" s="26"/>
      <x:c r="AK220" s="26"/>
      <x:c r="AL220" s="26"/>
      <x:c r="AM220" s="26"/>
      <x:c r="AN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  <x:c r="AA221" s="26"/>
      <x:c r="AB221" s="26"/>
      <x:c r="AC221" s="26"/>
      <x:c r="AD221" s="26"/>
      <x:c r="AE221" s="26"/>
      <x:c r="AF221" s="26"/>
      <x:c r="AG221" s="26"/>
      <x:c r="AH221" s="26"/>
      <x:c r="AI221" s="26"/>
      <x:c r="AJ221" s="26"/>
      <x:c r="AK221" s="26"/>
      <x:c r="AL221" s="26"/>
      <x:c r="AM221" s="26"/>
      <x:c r="AN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  <x:c r="AA222" s="26"/>
      <x:c r="AB222" s="26"/>
      <x:c r="AC222" s="26"/>
      <x:c r="AD222" s="26"/>
      <x:c r="AE222" s="26"/>
      <x:c r="AF222" s="26"/>
      <x:c r="AG222" s="26"/>
      <x:c r="AH222" s="26"/>
      <x:c r="AI222" s="26"/>
      <x:c r="AJ222" s="26"/>
      <x:c r="AK222" s="26"/>
      <x:c r="AL222" s="26"/>
      <x:c r="AM222" s="26"/>
      <x:c r="AN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  <x:c r="AA223" s="26"/>
      <x:c r="AB223" s="26"/>
      <x:c r="AC223" s="26"/>
      <x:c r="AD223" s="26"/>
      <x:c r="AE223" s="26"/>
      <x:c r="AF223" s="26"/>
      <x:c r="AG223" s="26"/>
      <x:c r="AH223" s="26"/>
      <x:c r="AI223" s="26"/>
      <x:c r="AJ223" s="26"/>
      <x:c r="AK223" s="26"/>
      <x:c r="AL223" s="26"/>
      <x:c r="AM223" s="26"/>
      <x:c r="AN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  <x:c r="AA224" s="26"/>
      <x:c r="AB224" s="26"/>
      <x:c r="AC224" s="26"/>
      <x:c r="AD224" s="26"/>
      <x:c r="AE224" s="26"/>
      <x:c r="AF224" s="26"/>
      <x:c r="AG224" s="26"/>
      <x:c r="AH224" s="26"/>
      <x:c r="AI224" s="26"/>
      <x:c r="AJ224" s="26"/>
      <x:c r="AK224" s="26"/>
      <x:c r="AL224" s="26"/>
      <x:c r="AM224" s="26"/>
      <x:c r="AN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  <x:c r="AA225" s="26"/>
      <x:c r="AB225" s="26"/>
      <x:c r="AC225" s="26"/>
      <x:c r="AD225" s="26"/>
      <x:c r="AE225" s="26"/>
      <x:c r="AF225" s="26"/>
      <x:c r="AG225" s="26"/>
      <x:c r="AH225" s="26"/>
      <x:c r="AI225" s="26"/>
      <x:c r="AJ225" s="26"/>
      <x:c r="AK225" s="26"/>
      <x:c r="AL225" s="26"/>
      <x:c r="AM225" s="26"/>
      <x:c r="AN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  <x:c r="AA226" s="26"/>
      <x:c r="AB226" s="26"/>
      <x:c r="AC226" s="26"/>
      <x:c r="AD226" s="26"/>
      <x:c r="AE226" s="26"/>
      <x:c r="AF226" s="26"/>
      <x:c r="AG226" s="26"/>
      <x:c r="AH226" s="26"/>
      <x:c r="AI226" s="26"/>
      <x:c r="AJ226" s="26"/>
      <x:c r="AK226" s="26"/>
      <x:c r="AL226" s="26"/>
      <x:c r="AM226" s="26"/>
      <x:c r="AN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  <x:c r="AA227" s="26"/>
      <x:c r="AB227" s="26"/>
      <x:c r="AC227" s="26"/>
      <x:c r="AD227" s="26"/>
      <x:c r="AE227" s="26"/>
      <x:c r="AF227" s="26"/>
      <x:c r="AG227" s="26"/>
      <x:c r="AH227" s="26"/>
      <x:c r="AI227" s="26"/>
      <x:c r="AJ227" s="26"/>
      <x:c r="AK227" s="26"/>
      <x:c r="AL227" s="26"/>
      <x:c r="AM227" s="26"/>
      <x:c r="AN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  <x:c r="AA228" s="26"/>
      <x:c r="AB228" s="26"/>
      <x:c r="AC228" s="26"/>
      <x:c r="AD228" s="26"/>
      <x:c r="AE228" s="26"/>
      <x:c r="AF228" s="26"/>
      <x:c r="AG228" s="26"/>
      <x:c r="AH228" s="26"/>
      <x:c r="AI228" s="26"/>
      <x:c r="AJ228" s="26"/>
      <x:c r="AK228" s="26"/>
      <x:c r="AL228" s="26"/>
      <x:c r="AM228" s="26"/>
      <x:c r="AN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  <x:c r="AA229" s="26"/>
      <x:c r="AB229" s="26"/>
      <x:c r="AC229" s="26"/>
      <x:c r="AD229" s="26"/>
      <x:c r="AE229" s="26"/>
      <x:c r="AF229" s="26"/>
      <x:c r="AG229" s="26"/>
      <x:c r="AH229" s="26"/>
      <x:c r="AI229" s="26"/>
      <x:c r="AJ229" s="26"/>
      <x:c r="AK229" s="26"/>
      <x:c r="AL229" s="26"/>
      <x:c r="AM229" s="26"/>
      <x:c r="AN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  <x:c r="AA230" s="26"/>
      <x:c r="AB230" s="26"/>
      <x:c r="AC230" s="26"/>
      <x:c r="AD230" s="26"/>
      <x:c r="AE230" s="26"/>
      <x:c r="AF230" s="26"/>
      <x:c r="AG230" s="26"/>
      <x:c r="AH230" s="26"/>
      <x:c r="AI230" s="26"/>
      <x:c r="AJ230" s="26"/>
      <x:c r="AK230" s="26"/>
      <x:c r="AL230" s="26"/>
      <x:c r="AM230" s="26"/>
      <x:c r="AN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  <x:c r="AA231" s="26"/>
      <x:c r="AB231" s="26"/>
      <x:c r="AC231" s="26"/>
      <x:c r="AD231" s="26"/>
      <x:c r="AE231" s="26"/>
      <x:c r="AF231" s="26"/>
      <x:c r="AG231" s="26"/>
      <x:c r="AH231" s="26"/>
      <x:c r="AI231" s="26"/>
      <x:c r="AJ231" s="26"/>
      <x:c r="AK231" s="26"/>
      <x:c r="AL231" s="26"/>
      <x:c r="AM231" s="26"/>
      <x:c r="AN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  <x:c r="AA232" s="26"/>
      <x:c r="AB232" s="26"/>
      <x:c r="AC232" s="26"/>
      <x:c r="AD232" s="26"/>
      <x:c r="AE232" s="26"/>
      <x:c r="AF232" s="26"/>
      <x:c r="AG232" s="26"/>
      <x:c r="AH232" s="26"/>
      <x:c r="AI232" s="26"/>
      <x:c r="AJ232" s="26"/>
      <x:c r="AK232" s="26"/>
      <x:c r="AL232" s="26"/>
      <x:c r="AM232" s="26"/>
      <x:c r="AN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  <x:c r="AA233" s="26"/>
      <x:c r="AB233" s="26"/>
      <x:c r="AC233" s="26"/>
      <x:c r="AD233" s="26"/>
      <x:c r="AE233" s="26"/>
      <x:c r="AF233" s="26"/>
      <x:c r="AG233" s="26"/>
      <x:c r="AH233" s="26"/>
      <x:c r="AI233" s="26"/>
      <x:c r="AJ233" s="26"/>
      <x:c r="AK233" s="26"/>
      <x:c r="AL233" s="26"/>
      <x:c r="AM233" s="26"/>
      <x:c r="AN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  <x:c r="AA234" s="26"/>
      <x:c r="AB234" s="26"/>
      <x:c r="AC234" s="26"/>
      <x:c r="AD234" s="26"/>
      <x:c r="AE234" s="26"/>
      <x:c r="AF234" s="26"/>
      <x:c r="AG234" s="26"/>
      <x:c r="AH234" s="26"/>
      <x:c r="AI234" s="26"/>
      <x:c r="AJ234" s="26"/>
      <x:c r="AK234" s="26"/>
      <x:c r="AL234" s="26"/>
      <x:c r="AM234" s="26"/>
      <x:c r="AN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  <x:c r="AA235" s="26"/>
      <x:c r="AB235" s="26"/>
      <x:c r="AC235" s="26"/>
      <x:c r="AD235" s="26"/>
      <x:c r="AE235" s="26"/>
      <x:c r="AF235" s="26"/>
      <x:c r="AG235" s="26"/>
      <x:c r="AH235" s="26"/>
      <x:c r="AI235" s="26"/>
      <x:c r="AJ235" s="26"/>
      <x:c r="AK235" s="26"/>
      <x:c r="AL235" s="26"/>
      <x:c r="AM235" s="26"/>
      <x:c r="AN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  <x:c r="AA236" s="26"/>
      <x:c r="AB236" s="26"/>
      <x:c r="AC236" s="26"/>
      <x:c r="AD236" s="26"/>
      <x:c r="AE236" s="26"/>
      <x:c r="AF236" s="26"/>
      <x:c r="AG236" s="26"/>
      <x:c r="AH236" s="26"/>
      <x:c r="AI236" s="26"/>
      <x:c r="AJ236" s="26"/>
      <x:c r="AK236" s="26"/>
      <x:c r="AL236" s="26"/>
      <x:c r="AM236" s="26"/>
      <x:c r="AN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  <x:c r="AA237" s="26"/>
      <x:c r="AB237" s="26"/>
      <x:c r="AC237" s="26"/>
      <x:c r="AD237" s="26"/>
      <x:c r="AE237" s="26"/>
      <x:c r="AF237" s="26"/>
      <x:c r="AG237" s="26"/>
      <x:c r="AH237" s="26"/>
      <x:c r="AI237" s="26"/>
      <x:c r="AJ237" s="26"/>
      <x:c r="AK237" s="26"/>
      <x:c r="AL237" s="26"/>
      <x:c r="AM237" s="26"/>
      <x:c r="AN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  <x:c r="AA238" s="26"/>
      <x:c r="AB238" s="26"/>
      <x:c r="AC238" s="26"/>
      <x:c r="AD238" s="26"/>
      <x:c r="AE238" s="26"/>
      <x:c r="AF238" s="26"/>
      <x:c r="AG238" s="26"/>
      <x:c r="AH238" s="26"/>
      <x:c r="AI238" s="26"/>
      <x:c r="AJ238" s="26"/>
      <x:c r="AK238" s="26"/>
      <x:c r="AL238" s="26"/>
      <x:c r="AM238" s="26"/>
      <x:c r="AN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  <x:c r="AA239" s="26"/>
      <x:c r="AB239" s="26"/>
      <x:c r="AC239" s="26"/>
      <x:c r="AD239" s="26"/>
      <x:c r="AE239" s="26"/>
      <x:c r="AF239" s="26"/>
      <x:c r="AG239" s="26"/>
      <x:c r="AH239" s="26"/>
      <x:c r="AI239" s="26"/>
      <x:c r="AJ239" s="26"/>
      <x:c r="AK239" s="26"/>
      <x:c r="AL239" s="26"/>
      <x:c r="AM239" s="26"/>
      <x:c r="AN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  <x:c r="AA240" s="26"/>
      <x:c r="AB240" s="26"/>
      <x:c r="AC240" s="26"/>
      <x:c r="AD240" s="26"/>
      <x:c r="AE240" s="26"/>
      <x:c r="AF240" s="26"/>
      <x:c r="AG240" s="26"/>
      <x:c r="AH240" s="26"/>
      <x:c r="AI240" s="26"/>
      <x:c r="AJ240" s="26"/>
      <x:c r="AK240" s="26"/>
      <x:c r="AL240" s="26"/>
      <x:c r="AM240" s="26"/>
      <x:c r="AN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  <x:c r="AA241" s="26"/>
      <x:c r="AB241" s="26"/>
      <x:c r="AC241" s="26"/>
      <x:c r="AD241" s="26"/>
      <x:c r="AE241" s="26"/>
      <x:c r="AF241" s="26"/>
      <x:c r="AG241" s="26"/>
      <x:c r="AH241" s="26"/>
      <x:c r="AI241" s="26"/>
      <x:c r="AJ241" s="26"/>
      <x:c r="AK241" s="26"/>
      <x:c r="AL241" s="26"/>
      <x:c r="AM241" s="26"/>
      <x:c r="AN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  <x:c r="AA242" s="26"/>
      <x:c r="AB242" s="26"/>
      <x:c r="AC242" s="26"/>
      <x:c r="AD242" s="26"/>
      <x:c r="AE242" s="26"/>
      <x:c r="AF242" s="26"/>
      <x:c r="AG242" s="26"/>
      <x:c r="AH242" s="26"/>
      <x:c r="AI242" s="26"/>
      <x:c r="AJ242" s="26"/>
      <x:c r="AK242" s="26"/>
      <x:c r="AL242" s="26"/>
      <x:c r="AM242" s="26"/>
      <x:c r="AN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  <x:c r="AA243" s="26"/>
      <x:c r="AB243" s="26"/>
      <x:c r="AC243" s="26"/>
      <x:c r="AD243" s="26"/>
      <x:c r="AE243" s="26"/>
      <x:c r="AF243" s="26"/>
      <x:c r="AG243" s="26"/>
      <x:c r="AH243" s="26"/>
      <x:c r="AI243" s="26"/>
      <x:c r="AJ243" s="26"/>
      <x:c r="AK243" s="26"/>
      <x:c r="AL243" s="26"/>
      <x:c r="AM243" s="26"/>
      <x:c r="AN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  <x:c r="AA244" s="26"/>
      <x:c r="AB244" s="26"/>
      <x:c r="AC244" s="26"/>
      <x:c r="AD244" s="26"/>
      <x:c r="AE244" s="26"/>
      <x:c r="AF244" s="26"/>
      <x:c r="AG244" s="26"/>
      <x:c r="AH244" s="26"/>
      <x:c r="AI244" s="26"/>
      <x:c r="AJ244" s="26"/>
      <x:c r="AK244" s="26"/>
      <x:c r="AL244" s="26"/>
      <x:c r="AM244" s="26"/>
      <x:c r="AN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  <x:c r="AA245" s="26"/>
      <x:c r="AB245" s="26"/>
      <x:c r="AC245" s="26"/>
      <x:c r="AD245" s="26"/>
      <x:c r="AE245" s="26"/>
      <x:c r="AF245" s="26"/>
      <x:c r="AG245" s="26"/>
      <x:c r="AH245" s="26"/>
      <x:c r="AI245" s="26"/>
      <x:c r="AJ245" s="26"/>
      <x:c r="AK245" s="26"/>
      <x:c r="AL245" s="26"/>
      <x:c r="AM245" s="26"/>
      <x:c r="AN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  <x:c r="AA246" s="26"/>
      <x:c r="AB246" s="26"/>
      <x:c r="AC246" s="26"/>
      <x:c r="AD246" s="26"/>
      <x:c r="AE246" s="26"/>
      <x:c r="AF246" s="26"/>
      <x:c r="AG246" s="26"/>
      <x:c r="AH246" s="26"/>
      <x:c r="AI246" s="26"/>
      <x:c r="AJ246" s="26"/>
      <x:c r="AK246" s="26"/>
      <x:c r="AL246" s="26"/>
      <x:c r="AM246" s="26"/>
      <x:c r="AN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  <x:c r="AA247" s="26"/>
      <x:c r="AB247" s="26"/>
      <x:c r="AC247" s="26"/>
      <x:c r="AD247" s="26"/>
      <x:c r="AE247" s="26"/>
      <x:c r="AF247" s="26"/>
      <x:c r="AG247" s="26"/>
      <x:c r="AH247" s="26"/>
      <x:c r="AI247" s="26"/>
      <x:c r="AJ247" s="26"/>
      <x:c r="AK247" s="26"/>
      <x:c r="AL247" s="26"/>
      <x:c r="AM247" s="26"/>
      <x:c r="AN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  <x:c r="AA248" s="26"/>
      <x:c r="AB248" s="26"/>
      <x:c r="AC248" s="26"/>
      <x:c r="AD248" s="26"/>
      <x:c r="AE248" s="26"/>
      <x:c r="AF248" s="26"/>
      <x:c r="AG248" s="26"/>
      <x:c r="AH248" s="26"/>
      <x:c r="AI248" s="26"/>
      <x:c r="AJ248" s="26"/>
      <x:c r="AK248" s="26"/>
      <x:c r="AL248" s="26"/>
      <x:c r="AM248" s="26"/>
      <x:c r="AN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  <x:c r="AA249" s="26"/>
      <x:c r="AB249" s="26"/>
      <x:c r="AC249" s="26"/>
      <x:c r="AD249" s="26"/>
      <x:c r="AE249" s="26"/>
      <x:c r="AF249" s="26"/>
      <x:c r="AG249" s="26"/>
      <x:c r="AH249" s="26"/>
      <x:c r="AI249" s="26"/>
      <x:c r="AJ249" s="26"/>
      <x:c r="AK249" s="26"/>
      <x:c r="AL249" s="26"/>
      <x:c r="AM249" s="26"/>
      <x:c r="AN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  <x:c r="AA250" s="26"/>
      <x:c r="AB250" s="26"/>
      <x:c r="AC250" s="26"/>
      <x:c r="AD250" s="26"/>
      <x:c r="AE250" s="26"/>
      <x:c r="AF250" s="26"/>
      <x:c r="AG250" s="26"/>
      <x:c r="AH250" s="26"/>
      <x:c r="AI250" s="26"/>
      <x:c r="AJ250" s="26"/>
      <x:c r="AK250" s="26"/>
      <x:c r="AL250" s="26"/>
      <x:c r="AM250" s="26"/>
      <x:c r="AN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  <x:c r="AA251" s="26"/>
      <x:c r="AB251" s="26"/>
      <x:c r="AC251" s="26"/>
      <x:c r="AD251" s="26"/>
      <x:c r="AE251" s="26"/>
      <x:c r="AF251" s="26"/>
      <x:c r="AG251" s="26"/>
      <x:c r="AH251" s="26"/>
      <x:c r="AI251" s="26"/>
      <x:c r="AJ251" s="26"/>
      <x:c r="AK251" s="26"/>
      <x:c r="AL251" s="26"/>
      <x:c r="AM251" s="26"/>
      <x:c r="AN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  <x:c r="AA252" s="26"/>
      <x:c r="AB252" s="26"/>
      <x:c r="AC252" s="26"/>
      <x:c r="AD252" s="26"/>
      <x:c r="AE252" s="26"/>
      <x:c r="AF252" s="26"/>
      <x:c r="AG252" s="26"/>
      <x:c r="AH252" s="26"/>
      <x:c r="AI252" s="26"/>
      <x:c r="AJ252" s="26"/>
      <x:c r="AK252" s="26"/>
      <x:c r="AL252" s="26"/>
      <x:c r="AM252" s="26"/>
      <x:c r="AN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  <x:c r="AA253" s="26"/>
      <x:c r="AB253" s="26"/>
      <x:c r="AC253" s="26"/>
      <x:c r="AD253" s="26"/>
      <x:c r="AE253" s="26"/>
      <x:c r="AF253" s="26"/>
      <x:c r="AG253" s="26"/>
      <x:c r="AH253" s="26"/>
      <x:c r="AI253" s="26"/>
      <x:c r="AJ253" s="26"/>
      <x:c r="AK253" s="26"/>
      <x:c r="AL253" s="26"/>
      <x:c r="AM253" s="26"/>
      <x:c r="AN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  <x:c r="AA254" s="26"/>
      <x:c r="AB254" s="26"/>
      <x:c r="AC254" s="26"/>
      <x:c r="AD254" s="26"/>
      <x:c r="AE254" s="26"/>
      <x:c r="AF254" s="26"/>
      <x:c r="AG254" s="26"/>
      <x:c r="AH254" s="26"/>
      <x:c r="AI254" s="26"/>
      <x:c r="AJ254" s="26"/>
      <x:c r="AK254" s="26"/>
      <x:c r="AL254" s="26"/>
      <x:c r="AM254" s="26"/>
      <x:c r="AN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  <x:c r="AA255" s="26"/>
      <x:c r="AB255" s="26"/>
      <x:c r="AC255" s="26"/>
      <x:c r="AD255" s="26"/>
      <x:c r="AE255" s="26"/>
      <x:c r="AF255" s="26"/>
      <x:c r="AG255" s="26"/>
      <x:c r="AH255" s="26"/>
      <x:c r="AI255" s="26"/>
      <x:c r="AJ255" s="26"/>
      <x:c r="AK255" s="26"/>
      <x:c r="AL255" s="26"/>
      <x:c r="AM255" s="26"/>
      <x:c r="AN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  <x:c r="AA256" s="26"/>
      <x:c r="AB256" s="26"/>
      <x:c r="AC256" s="26"/>
      <x:c r="AD256" s="26"/>
      <x:c r="AE256" s="26"/>
      <x:c r="AF256" s="26"/>
      <x:c r="AG256" s="26"/>
      <x:c r="AH256" s="26"/>
      <x:c r="AI256" s="26"/>
      <x:c r="AJ256" s="26"/>
      <x:c r="AK256" s="26"/>
      <x:c r="AL256" s="26"/>
      <x:c r="AM256" s="26"/>
      <x:c r="AN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  <x:c r="AA257" s="26"/>
      <x:c r="AB257" s="26"/>
      <x:c r="AC257" s="26"/>
      <x:c r="AD257" s="26"/>
      <x:c r="AE257" s="26"/>
      <x:c r="AF257" s="26"/>
      <x:c r="AG257" s="26"/>
      <x:c r="AH257" s="26"/>
      <x:c r="AI257" s="26"/>
      <x:c r="AJ257" s="26"/>
      <x:c r="AK257" s="26"/>
      <x:c r="AL257" s="26"/>
      <x:c r="AM257" s="26"/>
      <x:c r="AN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  <x:c r="AA258" s="26"/>
      <x:c r="AB258" s="26"/>
      <x:c r="AC258" s="26"/>
      <x:c r="AD258" s="26"/>
      <x:c r="AE258" s="26"/>
      <x:c r="AF258" s="26"/>
      <x:c r="AG258" s="26"/>
      <x:c r="AH258" s="26"/>
      <x:c r="AI258" s="26"/>
      <x:c r="AJ258" s="26"/>
      <x:c r="AK258" s="26"/>
      <x:c r="AL258" s="26"/>
      <x:c r="AM258" s="26"/>
      <x:c r="AN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  <x:c r="AA259" s="26"/>
      <x:c r="AB259" s="26"/>
      <x:c r="AC259" s="26"/>
      <x:c r="AD259" s="26"/>
      <x:c r="AE259" s="26"/>
      <x:c r="AF259" s="26"/>
      <x:c r="AG259" s="26"/>
      <x:c r="AH259" s="26"/>
      <x:c r="AI259" s="26"/>
      <x:c r="AJ259" s="26"/>
      <x:c r="AK259" s="26"/>
      <x:c r="AL259" s="26"/>
      <x:c r="AM259" s="26"/>
      <x:c r="AN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  <x:c r="AA260" s="26"/>
      <x:c r="AB260" s="26"/>
      <x:c r="AC260" s="26"/>
      <x:c r="AD260" s="26"/>
      <x:c r="AE260" s="26"/>
      <x:c r="AF260" s="26"/>
      <x:c r="AG260" s="26"/>
      <x:c r="AH260" s="26"/>
      <x:c r="AI260" s="26"/>
      <x:c r="AJ260" s="26"/>
      <x:c r="AK260" s="26"/>
      <x:c r="AL260" s="26"/>
      <x:c r="AM260" s="26"/>
      <x:c r="AN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  <x:c r="AA261" s="26"/>
      <x:c r="AB261" s="26"/>
      <x:c r="AC261" s="26"/>
      <x:c r="AD261" s="26"/>
      <x:c r="AE261" s="26"/>
      <x:c r="AF261" s="26"/>
      <x:c r="AG261" s="26"/>
      <x:c r="AH261" s="26"/>
      <x:c r="AI261" s="26"/>
      <x:c r="AJ261" s="26"/>
      <x:c r="AK261" s="26"/>
      <x:c r="AL261" s="26"/>
      <x:c r="AM261" s="26"/>
      <x:c r="AN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  <x:c r="AA262" s="26"/>
      <x:c r="AB262" s="26"/>
      <x:c r="AC262" s="26"/>
      <x:c r="AD262" s="26"/>
      <x:c r="AE262" s="26"/>
      <x:c r="AF262" s="26"/>
      <x:c r="AG262" s="26"/>
      <x:c r="AH262" s="26"/>
      <x:c r="AI262" s="26"/>
      <x:c r="AJ262" s="26"/>
      <x:c r="AK262" s="26"/>
      <x:c r="AL262" s="26"/>
      <x:c r="AM262" s="26"/>
      <x:c r="AN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  <x:c r="AA263" s="26"/>
      <x:c r="AB263" s="26"/>
      <x:c r="AC263" s="26"/>
      <x:c r="AD263" s="26"/>
      <x:c r="AE263" s="26"/>
      <x:c r="AF263" s="26"/>
      <x:c r="AG263" s="26"/>
      <x:c r="AH263" s="26"/>
      <x:c r="AI263" s="26"/>
      <x:c r="AJ263" s="26"/>
      <x:c r="AK263" s="26"/>
      <x:c r="AL263" s="26"/>
      <x:c r="AM263" s="26"/>
      <x:c r="AN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  <x:c r="AA264" s="26"/>
      <x:c r="AB264" s="26"/>
      <x:c r="AC264" s="26"/>
      <x:c r="AD264" s="26"/>
      <x:c r="AE264" s="26"/>
      <x:c r="AF264" s="26"/>
      <x:c r="AG264" s="26"/>
      <x:c r="AH264" s="26"/>
      <x:c r="AI264" s="26"/>
      <x:c r="AJ264" s="26"/>
      <x:c r="AK264" s="26"/>
      <x:c r="AL264" s="26"/>
      <x:c r="AM264" s="26"/>
      <x:c r="AN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  <x:c r="AA265" s="26"/>
      <x:c r="AB265" s="26"/>
      <x:c r="AC265" s="26"/>
      <x:c r="AD265" s="26"/>
      <x:c r="AE265" s="26"/>
      <x:c r="AF265" s="26"/>
      <x:c r="AG265" s="26"/>
      <x:c r="AH265" s="26"/>
      <x:c r="AI265" s="26"/>
      <x:c r="AJ265" s="26"/>
      <x:c r="AK265" s="26"/>
      <x:c r="AL265" s="26"/>
      <x:c r="AM265" s="26"/>
      <x:c r="AN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  <x:c r="AA266" s="26"/>
      <x:c r="AB266" s="26"/>
      <x:c r="AC266" s="26"/>
      <x:c r="AD266" s="26"/>
      <x:c r="AE266" s="26"/>
      <x:c r="AF266" s="26"/>
      <x:c r="AG266" s="26"/>
      <x:c r="AH266" s="26"/>
      <x:c r="AI266" s="26"/>
      <x:c r="AJ266" s="26"/>
      <x:c r="AK266" s="26"/>
      <x:c r="AL266" s="26"/>
      <x:c r="AM266" s="26"/>
      <x:c r="AN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  <x:c r="AA267" s="26"/>
      <x:c r="AB267" s="26"/>
      <x:c r="AC267" s="26"/>
      <x:c r="AD267" s="26"/>
      <x:c r="AE267" s="26"/>
      <x:c r="AF267" s="26"/>
      <x:c r="AG267" s="26"/>
      <x:c r="AH267" s="26"/>
      <x:c r="AI267" s="26"/>
      <x:c r="AJ267" s="26"/>
      <x:c r="AK267" s="26"/>
      <x:c r="AL267" s="26"/>
      <x:c r="AM267" s="26"/>
      <x:c r="AN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  <x:c r="AA268" s="26"/>
      <x:c r="AB268" s="26"/>
      <x:c r="AC268" s="26"/>
      <x:c r="AD268" s="26"/>
      <x:c r="AE268" s="26"/>
      <x:c r="AF268" s="26"/>
      <x:c r="AG268" s="26"/>
      <x:c r="AH268" s="26"/>
      <x:c r="AI268" s="26"/>
      <x:c r="AJ268" s="26"/>
      <x:c r="AK268" s="26"/>
      <x:c r="AL268" s="26"/>
      <x:c r="AM268" s="26"/>
      <x:c r="AN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  <x:c r="AA269" s="26"/>
      <x:c r="AB269" s="26"/>
      <x:c r="AC269" s="26"/>
      <x:c r="AD269" s="26"/>
      <x:c r="AE269" s="26"/>
      <x:c r="AF269" s="26"/>
      <x:c r="AG269" s="26"/>
      <x:c r="AH269" s="26"/>
      <x:c r="AI269" s="26"/>
      <x:c r="AJ269" s="26"/>
      <x:c r="AK269" s="26"/>
      <x:c r="AL269" s="26"/>
      <x:c r="AM269" s="26"/>
      <x:c r="AN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  <x:c r="AA270" s="26"/>
      <x:c r="AB270" s="26"/>
      <x:c r="AC270" s="26"/>
      <x:c r="AD270" s="26"/>
      <x:c r="AE270" s="26"/>
      <x:c r="AF270" s="26"/>
      <x:c r="AG270" s="26"/>
      <x:c r="AH270" s="26"/>
      <x:c r="AI270" s="26"/>
      <x:c r="AJ270" s="26"/>
      <x:c r="AK270" s="26"/>
      <x:c r="AL270" s="26"/>
      <x:c r="AM270" s="26"/>
      <x:c r="AN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  <x:c r="AA271" s="26"/>
      <x:c r="AB271" s="26"/>
      <x:c r="AC271" s="26"/>
      <x:c r="AD271" s="26"/>
      <x:c r="AE271" s="26"/>
      <x:c r="AF271" s="26"/>
      <x:c r="AG271" s="26"/>
      <x:c r="AH271" s="26"/>
      <x:c r="AI271" s="26"/>
      <x:c r="AJ271" s="26"/>
      <x:c r="AK271" s="26"/>
      <x:c r="AL271" s="26"/>
      <x:c r="AM271" s="26"/>
      <x:c r="AN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  <x:c r="AA272" s="26"/>
      <x:c r="AB272" s="26"/>
      <x:c r="AC272" s="26"/>
      <x:c r="AD272" s="26"/>
      <x:c r="AE272" s="26"/>
      <x:c r="AF272" s="26"/>
      <x:c r="AG272" s="26"/>
      <x:c r="AH272" s="26"/>
      <x:c r="AI272" s="26"/>
      <x:c r="AJ272" s="26"/>
      <x:c r="AK272" s="26"/>
      <x:c r="AL272" s="26"/>
      <x:c r="AM272" s="26"/>
      <x:c r="AN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  <x:c r="AA273" s="26"/>
      <x:c r="AB273" s="26"/>
      <x:c r="AC273" s="26"/>
      <x:c r="AD273" s="26"/>
      <x:c r="AE273" s="26"/>
      <x:c r="AF273" s="26"/>
      <x:c r="AG273" s="26"/>
      <x:c r="AH273" s="26"/>
      <x:c r="AI273" s="26"/>
      <x:c r="AJ273" s="26"/>
      <x:c r="AK273" s="26"/>
      <x:c r="AL273" s="26"/>
      <x:c r="AM273" s="26"/>
      <x:c r="AN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  <x:c r="AA274" s="26"/>
      <x:c r="AB274" s="26"/>
      <x:c r="AC274" s="26"/>
      <x:c r="AD274" s="26"/>
      <x:c r="AE274" s="26"/>
      <x:c r="AF274" s="26"/>
      <x:c r="AG274" s="26"/>
      <x:c r="AH274" s="26"/>
      <x:c r="AI274" s="26"/>
      <x:c r="AJ274" s="26"/>
      <x:c r="AK274" s="26"/>
      <x:c r="AL274" s="26"/>
      <x:c r="AM274" s="26"/>
      <x:c r="AN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  <x:c r="AA275" s="26"/>
      <x:c r="AB275" s="26"/>
      <x:c r="AC275" s="26"/>
      <x:c r="AD275" s="26"/>
      <x:c r="AE275" s="26"/>
      <x:c r="AF275" s="26"/>
      <x:c r="AG275" s="26"/>
      <x:c r="AH275" s="26"/>
      <x:c r="AI275" s="26"/>
      <x:c r="AJ275" s="26"/>
      <x:c r="AK275" s="26"/>
      <x:c r="AL275" s="26"/>
      <x:c r="AM275" s="26"/>
      <x:c r="AN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  <x:c r="AA276" s="26"/>
      <x:c r="AB276" s="26"/>
      <x:c r="AC276" s="26"/>
      <x:c r="AD276" s="26"/>
      <x:c r="AE276" s="26"/>
      <x:c r="AF276" s="26"/>
      <x:c r="AG276" s="26"/>
      <x:c r="AH276" s="26"/>
      <x:c r="AI276" s="26"/>
      <x:c r="AJ276" s="26"/>
      <x:c r="AK276" s="26"/>
      <x:c r="AL276" s="26"/>
      <x:c r="AM276" s="26"/>
      <x:c r="AN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  <x:c r="AA277" s="26"/>
      <x:c r="AB277" s="26"/>
      <x:c r="AC277" s="26"/>
      <x:c r="AD277" s="26"/>
      <x:c r="AE277" s="26"/>
      <x:c r="AF277" s="26"/>
      <x:c r="AG277" s="26"/>
      <x:c r="AH277" s="26"/>
      <x:c r="AI277" s="26"/>
      <x:c r="AJ277" s="26"/>
      <x:c r="AK277" s="26"/>
      <x:c r="AL277" s="26"/>
      <x:c r="AM277" s="26"/>
      <x:c r="AN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  <x:c r="AA278" s="26"/>
      <x:c r="AB278" s="26"/>
      <x:c r="AC278" s="26"/>
      <x:c r="AD278" s="26"/>
      <x:c r="AE278" s="26"/>
      <x:c r="AF278" s="26"/>
      <x:c r="AG278" s="26"/>
      <x:c r="AH278" s="26"/>
      <x:c r="AI278" s="26"/>
      <x:c r="AJ278" s="26"/>
      <x:c r="AK278" s="26"/>
      <x:c r="AL278" s="26"/>
      <x:c r="AM278" s="26"/>
      <x:c r="AN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  <x:c r="AA279" s="26"/>
      <x:c r="AB279" s="26"/>
      <x:c r="AC279" s="26"/>
      <x:c r="AD279" s="26"/>
      <x:c r="AE279" s="26"/>
      <x:c r="AF279" s="26"/>
      <x:c r="AG279" s="26"/>
      <x:c r="AH279" s="26"/>
      <x:c r="AI279" s="26"/>
      <x:c r="AJ279" s="26"/>
      <x:c r="AK279" s="26"/>
      <x:c r="AL279" s="26"/>
      <x:c r="AM279" s="26"/>
      <x:c r="AN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  <x:c r="AA280" s="26"/>
      <x:c r="AB280" s="26"/>
      <x:c r="AC280" s="26"/>
      <x:c r="AD280" s="26"/>
      <x:c r="AE280" s="26"/>
      <x:c r="AF280" s="26"/>
      <x:c r="AG280" s="26"/>
      <x:c r="AH280" s="26"/>
      <x:c r="AI280" s="26"/>
      <x:c r="AJ280" s="26"/>
      <x:c r="AK280" s="26"/>
      <x:c r="AL280" s="26"/>
      <x:c r="AM280" s="26"/>
      <x:c r="AN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  <x:c r="AA281" s="26"/>
      <x:c r="AB281" s="26"/>
      <x:c r="AC281" s="26"/>
      <x:c r="AD281" s="26"/>
      <x:c r="AE281" s="26"/>
      <x:c r="AF281" s="26"/>
      <x:c r="AG281" s="26"/>
      <x:c r="AH281" s="26"/>
      <x:c r="AI281" s="26"/>
      <x:c r="AJ281" s="26"/>
      <x:c r="AK281" s="26"/>
      <x:c r="AL281" s="26"/>
      <x:c r="AM281" s="26"/>
      <x:c r="AN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  <x:c r="AA282" s="26"/>
      <x:c r="AB282" s="26"/>
      <x:c r="AC282" s="26"/>
      <x:c r="AD282" s="26"/>
      <x:c r="AE282" s="26"/>
      <x:c r="AF282" s="26"/>
      <x:c r="AG282" s="26"/>
      <x:c r="AH282" s="26"/>
      <x:c r="AI282" s="26"/>
      <x:c r="AJ282" s="26"/>
      <x:c r="AK282" s="26"/>
      <x:c r="AL282" s="26"/>
      <x:c r="AM282" s="26"/>
      <x:c r="AN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  <x:c r="AA283" s="26"/>
      <x:c r="AB283" s="26"/>
      <x:c r="AC283" s="26"/>
      <x:c r="AD283" s="26"/>
      <x:c r="AE283" s="26"/>
      <x:c r="AF283" s="26"/>
      <x:c r="AG283" s="26"/>
      <x:c r="AH283" s="26"/>
      <x:c r="AI283" s="26"/>
      <x:c r="AJ283" s="26"/>
      <x:c r="AK283" s="26"/>
      <x:c r="AL283" s="26"/>
      <x:c r="AM283" s="26"/>
      <x:c r="AN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  <x:c r="AA284" s="26"/>
      <x:c r="AB284" s="26"/>
      <x:c r="AC284" s="26"/>
      <x:c r="AD284" s="26"/>
      <x:c r="AE284" s="26"/>
      <x:c r="AF284" s="26"/>
      <x:c r="AG284" s="26"/>
      <x:c r="AH284" s="26"/>
      <x:c r="AI284" s="26"/>
      <x:c r="AJ284" s="26"/>
      <x:c r="AK284" s="26"/>
      <x:c r="AL284" s="26"/>
      <x:c r="AM284" s="26"/>
      <x:c r="AN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  <x:c r="AA285" s="26"/>
      <x:c r="AB285" s="26"/>
      <x:c r="AC285" s="26"/>
      <x:c r="AD285" s="26"/>
      <x:c r="AE285" s="26"/>
      <x:c r="AF285" s="26"/>
      <x:c r="AG285" s="26"/>
      <x:c r="AH285" s="26"/>
      <x:c r="AI285" s="26"/>
      <x:c r="AJ285" s="26"/>
      <x:c r="AK285" s="26"/>
      <x:c r="AL285" s="26"/>
      <x:c r="AM285" s="26"/>
      <x:c r="AN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  <x:c r="AA286" s="26"/>
      <x:c r="AB286" s="26"/>
      <x:c r="AC286" s="26"/>
      <x:c r="AD286" s="26"/>
      <x:c r="AE286" s="26"/>
      <x:c r="AF286" s="26"/>
      <x:c r="AG286" s="26"/>
      <x:c r="AH286" s="26"/>
      <x:c r="AI286" s="26"/>
      <x:c r="AJ286" s="26"/>
      <x:c r="AK286" s="26"/>
      <x:c r="AL286" s="26"/>
      <x:c r="AM286" s="26"/>
      <x:c r="AN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  <x:c r="AA287" s="26"/>
      <x:c r="AB287" s="26"/>
      <x:c r="AC287" s="26"/>
      <x:c r="AD287" s="26"/>
      <x:c r="AE287" s="26"/>
      <x:c r="AF287" s="26"/>
      <x:c r="AG287" s="26"/>
      <x:c r="AH287" s="26"/>
      <x:c r="AI287" s="26"/>
      <x:c r="AJ287" s="26"/>
      <x:c r="AK287" s="26"/>
      <x:c r="AL287" s="26"/>
      <x:c r="AM287" s="26"/>
      <x:c r="AN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  <x:c r="AA288" s="26"/>
      <x:c r="AB288" s="26"/>
      <x:c r="AC288" s="26"/>
      <x:c r="AD288" s="26"/>
      <x:c r="AE288" s="26"/>
      <x:c r="AF288" s="26"/>
      <x:c r="AG288" s="26"/>
      <x:c r="AH288" s="26"/>
      <x:c r="AI288" s="26"/>
      <x:c r="AJ288" s="26"/>
      <x:c r="AK288" s="26"/>
      <x:c r="AL288" s="26"/>
      <x:c r="AM288" s="26"/>
      <x:c r="AN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  <x:c r="AA289" s="26"/>
      <x:c r="AB289" s="26"/>
      <x:c r="AC289" s="26"/>
      <x:c r="AD289" s="26"/>
      <x:c r="AE289" s="26"/>
      <x:c r="AF289" s="26"/>
      <x:c r="AG289" s="26"/>
      <x:c r="AH289" s="26"/>
      <x:c r="AI289" s="26"/>
      <x:c r="AJ289" s="26"/>
      <x:c r="AK289" s="26"/>
      <x:c r="AL289" s="26"/>
      <x:c r="AM289" s="26"/>
      <x:c r="AN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  <x:c r="AA290" s="26"/>
      <x:c r="AB290" s="26"/>
      <x:c r="AC290" s="26"/>
      <x:c r="AD290" s="26"/>
      <x:c r="AE290" s="26"/>
      <x:c r="AF290" s="26"/>
      <x:c r="AG290" s="26"/>
      <x:c r="AH290" s="26"/>
      <x:c r="AI290" s="26"/>
      <x:c r="AJ290" s="26"/>
      <x:c r="AK290" s="26"/>
      <x:c r="AL290" s="26"/>
      <x:c r="AM290" s="26"/>
      <x:c r="AN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  <x:c r="AA291" s="26"/>
      <x:c r="AB291" s="26"/>
      <x:c r="AC291" s="26"/>
      <x:c r="AD291" s="26"/>
      <x:c r="AE291" s="26"/>
      <x:c r="AF291" s="26"/>
      <x:c r="AG291" s="26"/>
      <x:c r="AH291" s="26"/>
      <x:c r="AI291" s="26"/>
      <x:c r="AJ291" s="26"/>
      <x:c r="AK291" s="26"/>
      <x:c r="AL291" s="26"/>
      <x:c r="AM291" s="26"/>
      <x:c r="AN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  <x:c r="AA292" s="26"/>
      <x:c r="AB292" s="26"/>
      <x:c r="AC292" s="26"/>
      <x:c r="AD292" s="26"/>
      <x:c r="AE292" s="26"/>
      <x:c r="AF292" s="26"/>
      <x:c r="AG292" s="26"/>
      <x:c r="AH292" s="26"/>
      <x:c r="AI292" s="26"/>
      <x:c r="AJ292" s="26"/>
      <x:c r="AK292" s="26"/>
      <x:c r="AL292" s="26"/>
      <x:c r="AM292" s="26"/>
      <x:c r="AN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  <x:c r="AA293" s="26"/>
      <x:c r="AB293" s="26"/>
      <x:c r="AC293" s="26"/>
      <x:c r="AD293" s="26"/>
      <x:c r="AE293" s="26"/>
      <x:c r="AF293" s="26"/>
      <x:c r="AG293" s="26"/>
      <x:c r="AH293" s="26"/>
      <x:c r="AI293" s="26"/>
      <x:c r="AJ293" s="26"/>
      <x:c r="AK293" s="26"/>
      <x:c r="AL293" s="26"/>
      <x:c r="AM293" s="26"/>
      <x:c r="AN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  <x:c r="AA294" s="26"/>
      <x:c r="AB294" s="26"/>
      <x:c r="AC294" s="26"/>
      <x:c r="AD294" s="26"/>
      <x:c r="AE294" s="26"/>
      <x:c r="AF294" s="26"/>
      <x:c r="AG294" s="26"/>
      <x:c r="AH294" s="26"/>
      <x:c r="AI294" s="26"/>
      <x:c r="AJ294" s="26"/>
      <x:c r="AK294" s="26"/>
      <x:c r="AL294" s="26"/>
      <x:c r="AM294" s="26"/>
      <x:c r="AN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  <x:c r="AA295" s="26"/>
      <x:c r="AB295" s="26"/>
      <x:c r="AC295" s="26"/>
      <x:c r="AD295" s="26"/>
      <x:c r="AE295" s="26"/>
      <x:c r="AF295" s="26"/>
      <x:c r="AG295" s="26"/>
      <x:c r="AH295" s="26"/>
      <x:c r="AI295" s="26"/>
      <x:c r="AJ295" s="26"/>
      <x:c r="AK295" s="26"/>
      <x:c r="AL295" s="26"/>
      <x:c r="AM295" s="26"/>
      <x:c r="AN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  <x:c r="AA296" s="26"/>
      <x:c r="AB296" s="26"/>
      <x:c r="AC296" s="26"/>
      <x:c r="AD296" s="26"/>
      <x:c r="AE296" s="26"/>
      <x:c r="AF296" s="26"/>
      <x:c r="AG296" s="26"/>
      <x:c r="AH296" s="26"/>
      <x:c r="AI296" s="26"/>
      <x:c r="AJ296" s="26"/>
      <x:c r="AK296" s="26"/>
      <x:c r="AL296" s="26"/>
      <x:c r="AM296" s="26"/>
      <x:c r="AN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  <x:c r="AA297" s="26"/>
      <x:c r="AB297" s="26"/>
      <x:c r="AC297" s="26"/>
      <x:c r="AD297" s="26"/>
      <x:c r="AE297" s="26"/>
      <x:c r="AF297" s="26"/>
      <x:c r="AG297" s="26"/>
      <x:c r="AH297" s="26"/>
      <x:c r="AI297" s="26"/>
      <x:c r="AJ297" s="26"/>
      <x:c r="AK297" s="26"/>
      <x:c r="AL297" s="26"/>
      <x:c r="AM297" s="26"/>
      <x:c r="AN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  <x:c r="AA298" s="26"/>
      <x:c r="AB298" s="26"/>
      <x:c r="AC298" s="26"/>
      <x:c r="AD298" s="26"/>
      <x:c r="AE298" s="26"/>
      <x:c r="AF298" s="26"/>
      <x:c r="AG298" s="26"/>
      <x:c r="AH298" s="26"/>
      <x:c r="AI298" s="26"/>
      <x:c r="AJ298" s="26"/>
      <x:c r="AK298" s="26"/>
      <x:c r="AL298" s="26"/>
      <x:c r="AM298" s="26"/>
      <x:c r="AN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  <x:c r="AA299" s="26"/>
      <x:c r="AB299" s="26"/>
      <x:c r="AC299" s="26"/>
      <x:c r="AD299" s="26"/>
      <x:c r="AE299" s="26"/>
      <x:c r="AF299" s="26"/>
      <x:c r="AG299" s="26"/>
      <x:c r="AH299" s="26"/>
      <x:c r="AI299" s="26"/>
      <x:c r="AJ299" s="26"/>
      <x:c r="AK299" s="26"/>
      <x:c r="AL299" s="26"/>
      <x:c r="AM299" s="26"/>
      <x:c r="AN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  <x:c r="AA300" s="26"/>
      <x:c r="AB300" s="26"/>
      <x:c r="AC300" s="26"/>
      <x:c r="AD300" s="26"/>
      <x:c r="AE300" s="26"/>
      <x:c r="AF300" s="26"/>
      <x:c r="AG300" s="26"/>
      <x:c r="AH300" s="26"/>
      <x:c r="AI300" s="26"/>
      <x:c r="AJ300" s="26"/>
      <x:c r="AK300" s="26"/>
      <x:c r="AL300" s="26"/>
      <x:c r="AM300" s="26"/>
      <x:c r="AN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  <x:c r="AA301" s="26"/>
      <x:c r="AB301" s="26"/>
      <x:c r="AC301" s="26"/>
      <x:c r="AD301" s="26"/>
      <x:c r="AE301" s="26"/>
      <x:c r="AF301" s="26"/>
      <x:c r="AG301" s="26"/>
      <x:c r="AH301" s="26"/>
      <x:c r="AI301" s="26"/>
      <x:c r="AJ301" s="26"/>
      <x:c r="AK301" s="26"/>
      <x:c r="AL301" s="26"/>
      <x:c r="AM301" s="26"/>
      <x:c r="AN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  <x:c r="AA302" s="26"/>
      <x:c r="AB302" s="26"/>
      <x:c r="AC302" s="26"/>
      <x:c r="AD302" s="26"/>
      <x:c r="AE302" s="26"/>
      <x:c r="AF302" s="26"/>
      <x:c r="AG302" s="26"/>
      <x:c r="AH302" s="26"/>
      <x:c r="AI302" s="26"/>
      <x:c r="AJ302" s="26"/>
      <x:c r="AK302" s="26"/>
      <x:c r="AL302" s="26"/>
      <x:c r="AM302" s="26"/>
      <x:c r="AN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  <x:c r="AA303" s="26"/>
      <x:c r="AB303" s="26"/>
      <x:c r="AC303" s="26"/>
      <x:c r="AD303" s="26"/>
      <x:c r="AE303" s="26"/>
      <x:c r="AF303" s="26"/>
      <x:c r="AG303" s="26"/>
      <x:c r="AH303" s="26"/>
      <x:c r="AI303" s="26"/>
      <x:c r="AJ303" s="26"/>
      <x:c r="AK303" s="26"/>
      <x:c r="AL303" s="26"/>
      <x:c r="AM303" s="26"/>
      <x:c r="AN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  <x:c r="AA304" s="26"/>
      <x:c r="AB304" s="26"/>
      <x:c r="AC304" s="26"/>
      <x:c r="AD304" s="26"/>
      <x:c r="AE304" s="26"/>
      <x:c r="AF304" s="26"/>
      <x:c r="AG304" s="26"/>
      <x:c r="AH304" s="26"/>
      <x:c r="AI304" s="26"/>
      <x:c r="AJ304" s="26"/>
      <x:c r="AK304" s="26"/>
      <x:c r="AL304" s="26"/>
      <x:c r="AM304" s="26"/>
      <x:c r="AN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  <x:c r="AA305" s="26"/>
      <x:c r="AB305" s="26"/>
      <x:c r="AC305" s="26"/>
      <x:c r="AD305" s="26"/>
      <x:c r="AE305" s="26"/>
      <x:c r="AF305" s="26"/>
      <x:c r="AG305" s="26"/>
      <x:c r="AH305" s="26"/>
      <x:c r="AI305" s="26"/>
      <x:c r="AJ305" s="26"/>
      <x:c r="AK305" s="26"/>
      <x:c r="AL305" s="26"/>
      <x:c r="AM305" s="26"/>
      <x:c r="AN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  <x:c r="AA306" s="26"/>
      <x:c r="AB306" s="26"/>
      <x:c r="AC306" s="26"/>
      <x:c r="AD306" s="26"/>
      <x:c r="AE306" s="26"/>
      <x:c r="AF306" s="26"/>
      <x:c r="AG306" s="26"/>
      <x:c r="AH306" s="26"/>
      <x:c r="AI306" s="26"/>
      <x:c r="AJ306" s="26"/>
      <x:c r="AK306" s="26"/>
      <x:c r="AL306" s="26"/>
      <x:c r="AM306" s="26"/>
      <x:c r="AN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  <x:c r="AA307" s="26"/>
      <x:c r="AB307" s="26"/>
      <x:c r="AC307" s="26"/>
      <x:c r="AD307" s="26"/>
      <x:c r="AE307" s="26"/>
      <x:c r="AF307" s="26"/>
      <x:c r="AG307" s="26"/>
      <x:c r="AH307" s="26"/>
      <x:c r="AI307" s="26"/>
      <x:c r="AJ307" s="26"/>
      <x:c r="AK307" s="26"/>
      <x:c r="AL307" s="26"/>
      <x:c r="AM307" s="26"/>
      <x:c r="AN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  <x:c r="AA308" s="26"/>
      <x:c r="AB308" s="26"/>
      <x:c r="AC308" s="26"/>
      <x:c r="AD308" s="26"/>
      <x:c r="AE308" s="26"/>
      <x:c r="AF308" s="26"/>
      <x:c r="AG308" s="26"/>
      <x:c r="AH308" s="26"/>
      <x:c r="AI308" s="26"/>
      <x:c r="AJ308" s="26"/>
      <x:c r="AK308" s="26"/>
      <x:c r="AL308" s="26"/>
      <x:c r="AM308" s="26"/>
      <x:c r="AN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  <x:c r="AA309" s="26"/>
      <x:c r="AB309" s="26"/>
      <x:c r="AC309" s="26"/>
      <x:c r="AD309" s="26"/>
      <x:c r="AE309" s="26"/>
      <x:c r="AF309" s="26"/>
      <x:c r="AG309" s="26"/>
      <x:c r="AH309" s="26"/>
      <x:c r="AI309" s="26"/>
      <x:c r="AJ309" s="26"/>
      <x:c r="AK309" s="26"/>
      <x:c r="AL309" s="26"/>
      <x:c r="AM309" s="26"/>
      <x:c r="AN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  <x:c r="AA310" s="26"/>
      <x:c r="AB310" s="26"/>
      <x:c r="AC310" s="26"/>
      <x:c r="AD310" s="26"/>
      <x:c r="AE310" s="26"/>
      <x:c r="AF310" s="26"/>
      <x:c r="AG310" s="26"/>
      <x:c r="AH310" s="26"/>
      <x:c r="AI310" s="26"/>
      <x:c r="AJ310" s="26"/>
      <x:c r="AK310" s="26"/>
      <x:c r="AL310" s="26"/>
      <x:c r="AM310" s="26"/>
      <x:c r="AN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  <x:c r="AA311" s="26"/>
      <x:c r="AB311" s="26"/>
      <x:c r="AC311" s="26"/>
      <x:c r="AD311" s="26"/>
      <x:c r="AE311" s="26"/>
      <x:c r="AF311" s="26"/>
      <x:c r="AG311" s="26"/>
      <x:c r="AH311" s="26"/>
      <x:c r="AI311" s="26"/>
      <x:c r="AJ311" s="26"/>
      <x:c r="AK311" s="26"/>
      <x:c r="AL311" s="26"/>
      <x:c r="AM311" s="26"/>
      <x:c r="AN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  <x:c r="AA312" s="26"/>
      <x:c r="AB312" s="26"/>
      <x:c r="AC312" s="26"/>
      <x:c r="AD312" s="26"/>
      <x:c r="AE312" s="26"/>
      <x:c r="AF312" s="26"/>
      <x:c r="AG312" s="26"/>
      <x:c r="AH312" s="26"/>
      <x:c r="AI312" s="26"/>
      <x:c r="AJ312" s="26"/>
      <x:c r="AK312" s="26"/>
      <x:c r="AL312" s="26"/>
      <x:c r="AM312" s="26"/>
      <x:c r="AN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  <x:c r="AA313" s="26"/>
      <x:c r="AB313" s="26"/>
      <x:c r="AC313" s="26"/>
      <x:c r="AD313" s="26"/>
      <x:c r="AE313" s="26"/>
      <x:c r="AF313" s="26"/>
      <x:c r="AG313" s="26"/>
      <x:c r="AH313" s="26"/>
      <x:c r="AI313" s="26"/>
      <x:c r="AJ313" s="26"/>
      <x:c r="AK313" s="26"/>
      <x:c r="AL313" s="26"/>
      <x:c r="AM313" s="26"/>
      <x:c r="AN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  <x:c r="AA314" s="26"/>
      <x:c r="AB314" s="26"/>
      <x:c r="AC314" s="26"/>
      <x:c r="AD314" s="26"/>
      <x:c r="AE314" s="26"/>
      <x:c r="AF314" s="26"/>
      <x:c r="AG314" s="26"/>
      <x:c r="AH314" s="26"/>
      <x:c r="AI314" s="26"/>
      <x:c r="AJ314" s="26"/>
      <x:c r="AK314" s="26"/>
      <x:c r="AL314" s="26"/>
      <x:c r="AM314" s="26"/>
      <x:c r="AN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  <x:c r="AA315" s="26"/>
      <x:c r="AB315" s="26"/>
      <x:c r="AC315" s="26"/>
      <x:c r="AD315" s="26"/>
      <x:c r="AE315" s="26"/>
      <x:c r="AF315" s="26"/>
      <x:c r="AG315" s="26"/>
      <x:c r="AH315" s="26"/>
      <x:c r="AI315" s="26"/>
      <x:c r="AJ315" s="26"/>
      <x:c r="AK315" s="26"/>
      <x:c r="AL315" s="26"/>
      <x:c r="AM315" s="26"/>
      <x:c r="AN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  <x:c r="AA316" s="26"/>
      <x:c r="AB316" s="26"/>
      <x:c r="AC316" s="26"/>
      <x:c r="AD316" s="26"/>
      <x:c r="AE316" s="26"/>
      <x:c r="AF316" s="26"/>
      <x:c r="AG316" s="26"/>
      <x:c r="AH316" s="26"/>
      <x:c r="AI316" s="26"/>
      <x:c r="AJ316" s="26"/>
      <x:c r="AK316" s="26"/>
      <x:c r="AL316" s="26"/>
      <x:c r="AM316" s="26"/>
      <x:c r="AN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  <x:c r="AA317" s="26"/>
      <x:c r="AB317" s="26"/>
      <x:c r="AC317" s="26"/>
      <x:c r="AD317" s="26"/>
      <x:c r="AE317" s="26"/>
      <x:c r="AF317" s="26"/>
      <x:c r="AG317" s="26"/>
      <x:c r="AH317" s="26"/>
      <x:c r="AI317" s="26"/>
      <x:c r="AJ317" s="26"/>
      <x:c r="AK317" s="26"/>
      <x:c r="AL317" s="26"/>
      <x:c r="AM317" s="26"/>
      <x:c r="AN317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3" t="str">
        <x:v>Column 1</x:v>
      </x:c>
      <x:c r="B1" s="23" t="str">
        <x:v>Tên QA</x:v>
      </x:c>
      <x:c r="C1" s="23" t="str">
        <x:v>Tên CSO</x:v>
      </x:c>
      <x:c r="D1" s="23" t="str">
        <x:v>Số extension</x:v>
      </x:c>
      <x:c r="E1" s="23" t="str">
        <x:v>Ngày chấm </x:v>
      </x:c>
      <x:c r="F1" s="23" t="str">
        <x:v>ID Call</x:v>
      </x:c>
      <x:c r="G1" s="23" t="str">
        <x:v>Thời điểm</x:v>
      </x:c>
      <x:c r="H1" s="23" t="str">
        <x:v>Thời lượng</x:v>
      </x:c>
      <x:c r="I1" s="23" t="str">
        <x:v>Số điện thoại</x:v>
      </x:c>
      <x:c r="J1" s="23" t="str">
        <x:v>Số HĐ</x:v>
      </x:c>
      <x:c r="K1" s="23" t="str">
        <x:v>Số CMND/CCCD</x:v>
      </x:c>
      <x:c r="L1" s="23" t="str">
        <x:v>Nội dung cuộc gọi</x:v>
      </x:c>
      <x:c r="M1" s="23" t="str">
        <x:v>Chào KH</x:v>
      </x:c>
      <x:c r="N1" s="23" t="str">
        <x:v>Giới thiệu mục đích cuộc gọi</x:v>
      </x:c>
      <x:c r="O1" s="23" t="str">
        <x:v>Âm lượng</x:v>
      </x:c>
      <x:c r="P1" s="23" t="str">
        <x:v>Phát âm</x:v>
      </x:c>
      <x:c r="Q1" s="23" t="str">
        <x:v>Tốc độ giao tiếp</x:v>
      </x:c>
      <x:c r="R1" s="23" t="str">
        <x:v>Ngôn ngữ phổ thông, dễ hiểu</x:v>
      </x:c>
      <x:c r="S1" s="23" t="str">
        <x:v>Dùng từ "vui lòng" hợp lý</x:v>
      </x:c>
      <x:c r="T1" s="23" t="str">
        <x:v>Ngôn từ chuẩn mực, biết cách nói "không" với KH</x:v>
      </x:c>
      <x:c r="U1" s="23" t="str">
        <x:v>Lắng nghe</x:v>
      </x:c>
      <x:c r="V1" s="23" t="str">
        <x:v>Lịch sự, chuyên nghiệp</x:v>
      </x:c>
      <x:c r="W1" s="23" t="str">
        <x:v>Thái độ</x:v>
      </x:c>
      <x:c r="X1" s="23" t="str">
        <x:v>Thấu cảm</x:v>
      </x:c>
      <x:c r="Y1" s="23" t="str">
        <x:v>Xin lỗi KH khi cần thiết</x:v>
      </x:c>
      <x:c r="Z1" s="23" t="str">
        <x:v>Cảm ơn KH khi cần thiết</x:v>
      </x:c>
      <x:c r="AA1" s="23" t="str">
        <x:v>Quản lý/ Định hướng cuộc gọi</x:v>
      </x:c>
      <x:c r="AB1" s="23" t="str">
        <x:v>Nắm bắt ý kiến KH</x:v>
      </x:c>
      <x:c r="AC1" s="23" t="str">
        <x:v>Nắm vững kiến thức sản phẩm</x:v>
      </x:c>
      <x:c r="AD1" s="23" t="str">
        <x:v>Thực hiện chính xác kịch bản</x:v>
      </x:c>
      <x:c r="AE1" s="23" t="str">
        <x:v>Hỏi KH mục đích vay vốn</x:v>
      </x:c>
      <x:c r="AF1" s="23" t="str">
        <x:v>Hỏi KH có hài lòng/góp ý cho Công ty</x:v>
      </x:c>
      <x:c r="AG1" s="23" t="str">
        <x:v>Hỏi KH có cần hỗ trợ thông tin gì khác không</x:v>
      </x:c>
      <x:c r="AH1" s="23" t="str">
        <x:v>Nếu cần hỗ trợ, gọi lại vào số tổng đài</x:v>
      </x:c>
      <x:c r="AI1" s="23" t="str">
        <x:v>Cảm ơn và chào KH</x:v>
      </x:c>
      <x:c r="AJ1" s="23" t="str">
        <x:v>Điểm mạnh</x:v>
      </x:c>
      <x:c r="AK1" s="23" t="str">
        <x:v>Điểm cần cải thiện</x:v>
      </x:c>
      <x:c r="AL1" s="23" t="str">
        <x:v>Column 38</x:v>
      </x:c>
      <x:c r="AM1" s="23" t="str">
        <x:v>Column 39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 s="26"/>
      <x:c r="AK2" s="26"/>
      <x:c r="AL2" s="26"/>
      <x:c r="AM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  <x:c r="AL3" s="26"/>
      <x:c r="AM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  <x:c r="AM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  <x:c r="AA5" s="26"/>
      <x:c r="AB5" s="26"/>
      <x:c r="AC5" s="26"/>
      <x:c r="AD5" s="26"/>
      <x:c r="AE5" s="26"/>
      <x:c r="AF5" s="26"/>
      <x:c r="AG5" s="26"/>
      <x:c r="AH5" s="26"/>
      <x:c r="AI5" s="26"/>
      <x:c r="AJ5" s="26"/>
      <x:c r="AK5" s="26"/>
      <x:c r="AL5" s="26"/>
      <x:c r="AM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26"/>
      <x:c r="AK6" s="26"/>
      <x:c r="AL6" s="26"/>
      <x:c r="AM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  <x:c r="AA7" s="26"/>
      <x:c r="AB7" s="26"/>
      <x:c r="AC7" s="26"/>
      <x:c r="AD7" s="26"/>
      <x:c r="AE7" s="26"/>
      <x:c r="AF7" s="26"/>
      <x:c r="AG7" s="26"/>
      <x:c r="AH7" s="26"/>
      <x:c r="AI7" s="26"/>
      <x:c r="AJ7" s="26"/>
      <x:c r="AK7" s="26"/>
      <x:c r="AL7" s="26"/>
      <x:c r="AM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  <x:c r="AA8" s="26"/>
      <x:c r="AB8" s="26"/>
      <x:c r="AC8" s="26"/>
      <x:c r="AD8" s="26"/>
      <x:c r="AE8" s="26"/>
      <x:c r="AF8" s="26"/>
      <x:c r="AG8" s="26"/>
      <x:c r="AH8" s="26"/>
      <x:c r="AI8" s="26"/>
      <x:c r="AJ8" s="26"/>
      <x:c r="AK8" s="26"/>
      <x:c r="AL8" s="26"/>
      <x:c r="AM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  <x:c r="AF9" s="26"/>
      <x:c r="AG9" s="26"/>
      <x:c r="AH9" s="26"/>
      <x:c r="AI9" s="26"/>
      <x:c r="AJ9" s="26"/>
      <x:c r="AK9" s="26"/>
      <x:c r="AL9" s="26"/>
      <x:c r="AM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  <x:c r="AA10" s="26"/>
      <x:c r="AB10" s="26"/>
      <x:c r="AC10" s="26"/>
      <x:c r="AD10" s="26"/>
      <x:c r="AE10" s="26"/>
      <x:c r="AF10" s="26"/>
      <x:c r="AG10" s="26"/>
      <x:c r="AH10" s="26"/>
      <x:c r="AI10" s="26"/>
      <x:c r="AJ10" s="26"/>
      <x:c r="AK10" s="26"/>
      <x:c r="AL10" s="26"/>
      <x:c r="AM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  <x:c r="AA11" s="26"/>
      <x:c r="AB11" s="26"/>
      <x:c r="AC11" s="26"/>
      <x:c r="AD11" s="26"/>
      <x:c r="AE11" s="26"/>
      <x:c r="AF11" s="26"/>
      <x:c r="AG11" s="26"/>
      <x:c r="AH11" s="26"/>
      <x:c r="AI11" s="26"/>
      <x:c r="AJ11" s="26"/>
      <x:c r="AK11" s="26"/>
      <x:c r="AL11" s="26"/>
      <x:c r="AM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  <x:c r="AA12" s="26"/>
      <x:c r="AB12" s="26"/>
      <x:c r="AC12" s="26"/>
      <x:c r="AD12" s="26"/>
      <x:c r="AE12" s="26"/>
      <x:c r="AF12" s="26"/>
      <x:c r="AG12" s="26"/>
      <x:c r="AH12" s="26"/>
      <x:c r="AI12" s="26"/>
      <x:c r="AJ12" s="26"/>
      <x:c r="AK12" s="26"/>
      <x:c r="AL12" s="26"/>
      <x:c r="AM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  <x:c r="AA13" s="26"/>
      <x:c r="AB13" s="26"/>
      <x:c r="AC13" s="26"/>
      <x:c r="AD13" s="26"/>
      <x:c r="AE13" s="26"/>
      <x:c r="AF13" s="26"/>
      <x:c r="AG13" s="26"/>
      <x:c r="AH13" s="26"/>
      <x:c r="AI13" s="26"/>
      <x:c r="AJ13" s="26"/>
      <x:c r="AK13" s="26"/>
      <x:c r="AL13" s="26"/>
      <x:c r="AM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  <x:c r="AA14" s="26"/>
      <x:c r="AB14" s="26"/>
      <x:c r="AC14" s="26"/>
      <x:c r="AD14" s="26"/>
      <x:c r="AE14" s="26"/>
      <x:c r="AF14" s="26"/>
      <x:c r="AG14" s="26"/>
      <x:c r="AH14" s="26"/>
      <x:c r="AI14" s="26"/>
      <x:c r="AJ14" s="26"/>
      <x:c r="AK14" s="26"/>
      <x:c r="AL14" s="26"/>
      <x:c r="AM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6"/>
      <x:c r="AK15" s="26"/>
      <x:c r="AL15" s="26"/>
      <x:c r="AM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  <x:c r="AA16" s="26"/>
      <x:c r="AB16" s="26"/>
      <x:c r="AC16" s="26"/>
      <x:c r="AD16" s="26"/>
      <x:c r="AE16" s="26"/>
      <x:c r="AF16" s="26"/>
      <x:c r="AG16" s="26"/>
      <x:c r="AH16" s="26"/>
      <x:c r="AI16" s="26"/>
      <x:c r="AJ16" s="26"/>
      <x:c r="AK16" s="26"/>
      <x:c r="AL16" s="26"/>
      <x:c r="AM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/>
      <x:c r="AI17" s="26"/>
      <x:c r="AJ17" s="26"/>
      <x:c r="AK17" s="26"/>
      <x:c r="AL17" s="26"/>
      <x:c r="AM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  <x:c r="AA18" s="26"/>
      <x:c r="AB18" s="26"/>
      <x:c r="AC18" s="26"/>
      <x:c r="AD18" s="26"/>
      <x:c r="AE18" s="26"/>
      <x:c r="AF18" s="26"/>
      <x:c r="AG18" s="26"/>
      <x:c r="AH18" s="26"/>
      <x:c r="AI18" s="26"/>
      <x:c r="AJ18" s="26"/>
      <x:c r="AK18" s="26"/>
      <x:c r="AL18" s="26"/>
      <x:c r="AM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/>
      <x:c r="AH19" s="26"/>
      <x:c r="AI19" s="26"/>
      <x:c r="AJ19" s="26"/>
      <x:c r="AK19" s="26"/>
      <x:c r="AL19" s="26"/>
      <x:c r="AM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  <x:c r="AA20" s="26"/>
      <x:c r="AB20" s="26"/>
      <x:c r="AC20" s="26"/>
      <x:c r="AD20" s="26"/>
      <x:c r="AE20" s="26"/>
      <x:c r="AF20" s="26"/>
      <x:c r="AG20" s="26"/>
      <x:c r="AH20" s="26"/>
      <x:c r="AI20" s="26"/>
      <x:c r="AJ20" s="26"/>
      <x:c r="AK20" s="26"/>
      <x:c r="AL20" s="26"/>
      <x:c r="AM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  <x:c r="AA21" s="26"/>
      <x:c r="AB21" s="26"/>
      <x:c r="AC21" s="26"/>
      <x:c r="AD21" s="26"/>
      <x:c r="AE21" s="26"/>
      <x:c r="AF21" s="26"/>
      <x:c r="AG21" s="26"/>
      <x:c r="AH21" s="26"/>
      <x:c r="AI21" s="26"/>
      <x:c r="AJ21" s="26"/>
      <x:c r="AK21" s="26"/>
      <x:c r="AL21" s="26"/>
      <x:c r="AM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  <x:c r="AA22" s="26"/>
      <x:c r="AB22" s="26"/>
      <x:c r="AC22" s="26"/>
      <x:c r="AD22" s="26"/>
      <x:c r="AE22" s="26"/>
      <x:c r="AF22" s="26"/>
      <x:c r="AG22" s="26"/>
      <x:c r="AH22" s="26"/>
      <x:c r="AI22" s="26"/>
      <x:c r="AJ22" s="26"/>
      <x:c r="AK22" s="26"/>
      <x:c r="AL22" s="26"/>
      <x:c r="AM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  <x:c r="AD23" s="26"/>
      <x:c r="AE23" s="26"/>
      <x:c r="AF23" s="26"/>
      <x:c r="AG23" s="26"/>
      <x:c r="AH23" s="26"/>
      <x:c r="AI23" s="26"/>
      <x:c r="AJ23" s="26"/>
      <x:c r="AK23" s="26"/>
      <x:c r="AL23" s="26"/>
      <x:c r="AM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26"/>
      <x:c r="AM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  <x:c r="AF25" s="26"/>
      <x:c r="AG25" s="26"/>
      <x:c r="AH25" s="26"/>
      <x:c r="AI25" s="26"/>
      <x:c r="AJ25" s="26"/>
      <x:c r="AK25" s="26"/>
      <x:c r="AL25" s="26"/>
      <x:c r="AM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  <x:c r="AA26" s="26"/>
      <x:c r="AB26" s="26"/>
      <x:c r="AC26" s="26"/>
      <x:c r="AD26" s="26"/>
      <x:c r="AE26" s="26"/>
      <x:c r="AF26" s="26"/>
      <x:c r="AG26" s="26"/>
      <x:c r="AH26" s="26"/>
      <x:c r="AI26" s="26"/>
      <x:c r="AJ26" s="26"/>
      <x:c r="AK26" s="26"/>
      <x:c r="AL26" s="26"/>
      <x:c r="AM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  <x:c r="AA27" s="26"/>
      <x:c r="AB27" s="26"/>
      <x:c r="AC27" s="26"/>
      <x:c r="AD27" s="26"/>
      <x:c r="AE27" s="26"/>
      <x:c r="AF27" s="26"/>
      <x:c r="AG27" s="26"/>
      <x:c r="AH27" s="26"/>
      <x:c r="AI27" s="26"/>
      <x:c r="AJ27" s="26"/>
      <x:c r="AK27" s="26"/>
      <x:c r="AL27" s="26"/>
      <x:c r="AM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  <x:c r="AA28" s="26"/>
      <x:c r="AB28" s="26"/>
      <x:c r="AC28" s="26"/>
      <x:c r="AD28" s="26"/>
      <x:c r="AE28" s="26"/>
      <x:c r="AF28" s="26"/>
      <x:c r="AG28" s="26"/>
      <x:c r="AH28" s="26"/>
      <x:c r="AI28" s="26"/>
      <x:c r="AJ28" s="26"/>
      <x:c r="AK28" s="26"/>
      <x:c r="AL28" s="26"/>
      <x:c r="AM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  <x:c r="AA29" s="26"/>
      <x:c r="AB29" s="26"/>
      <x:c r="AC29" s="26"/>
      <x:c r="AD29" s="26"/>
      <x:c r="AE29" s="26"/>
      <x:c r="AF29" s="26"/>
      <x:c r="AG29" s="26"/>
      <x:c r="AH29" s="26"/>
      <x:c r="AI29" s="26"/>
      <x:c r="AJ29" s="26"/>
      <x:c r="AK29" s="26"/>
      <x:c r="AL29" s="26"/>
      <x:c r="AM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  <x:c r="AA30" s="26"/>
      <x:c r="AB30" s="26"/>
      <x:c r="AC30" s="26"/>
      <x:c r="AD30" s="26"/>
      <x:c r="AE30" s="26"/>
      <x:c r="AF30" s="26"/>
      <x:c r="AG30" s="26"/>
      <x:c r="AH30" s="26"/>
      <x:c r="AI30" s="26"/>
      <x:c r="AJ30" s="26"/>
      <x:c r="AK30" s="26"/>
      <x:c r="AL30" s="26"/>
      <x:c r="AM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  <x:c r="AA31" s="26"/>
      <x:c r="AB31" s="26"/>
      <x:c r="AC31" s="26"/>
      <x:c r="AD31" s="26"/>
      <x:c r="AE31" s="26"/>
      <x:c r="AF31" s="26"/>
      <x:c r="AG31" s="26"/>
      <x:c r="AH31" s="26"/>
      <x:c r="AI31" s="26"/>
      <x:c r="AJ31" s="26"/>
      <x:c r="AK31" s="26"/>
      <x:c r="AL31" s="26"/>
      <x:c r="AM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  <x:c r="AC32" s="26"/>
      <x:c r="AD32" s="26"/>
      <x:c r="AE32" s="26"/>
      <x:c r="AF32" s="26"/>
      <x:c r="AG32" s="26"/>
      <x:c r="AH32" s="26"/>
      <x:c r="AI32" s="26"/>
      <x:c r="AJ32" s="26"/>
      <x:c r="AK32" s="26"/>
      <x:c r="AL32" s="26"/>
      <x:c r="AM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  <x:c r="AA33" s="26"/>
      <x:c r="AB33" s="26"/>
      <x:c r="AC33" s="26"/>
      <x:c r="AD33" s="26"/>
      <x:c r="AE33" s="26"/>
      <x:c r="AF33" s="26"/>
      <x:c r="AG33" s="26"/>
      <x:c r="AH33" s="26"/>
      <x:c r="AI33" s="26"/>
      <x:c r="AJ33" s="26"/>
      <x:c r="AK33" s="26"/>
      <x:c r="AL33" s="26"/>
      <x:c r="AM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  <x:c r="AC34" s="26"/>
      <x:c r="AD34" s="26"/>
      <x:c r="AE34" s="26"/>
      <x:c r="AF34" s="26"/>
      <x:c r="AG34" s="26"/>
      <x:c r="AH34" s="26"/>
      <x:c r="AI34" s="26"/>
      <x:c r="AJ34" s="26"/>
      <x:c r="AK34" s="26"/>
      <x:c r="AL34" s="26"/>
      <x:c r="AM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  <x:c r="AA35" s="26"/>
      <x:c r="AB35" s="26"/>
      <x:c r="AC35" s="26"/>
      <x:c r="AD35" s="26"/>
      <x:c r="AE35" s="26"/>
      <x:c r="AF35" s="26"/>
      <x:c r="AG35" s="26"/>
      <x:c r="AH35" s="26"/>
      <x:c r="AI35" s="26"/>
      <x:c r="AJ35" s="26"/>
      <x:c r="AK35" s="26"/>
      <x:c r="AL35" s="26"/>
      <x:c r="AM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  <x:c r="AC36" s="26"/>
      <x:c r="AD36" s="26"/>
      <x:c r="AE36" s="26"/>
      <x:c r="AF36" s="26"/>
      <x:c r="AG36" s="26"/>
      <x:c r="AH36" s="26"/>
      <x:c r="AI36" s="26"/>
      <x:c r="AJ36" s="26"/>
      <x:c r="AK36" s="26"/>
      <x:c r="AL36" s="26"/>
      <x:c r="AM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6"/>
      <x:c r="AD37" s="26"/>
      <x:c r="AE37" s="26"/>
      <x:c r="AF37" s="26"/>
      <x:c r="AG37" s="26"/>
      <x:c r="AH37" s="26"/>
      <x:c r="AI37" s="26"/>
      <x:c r="AJ37" s="26"/>
      <x:c r="AK37" s="26"/>
      <x:c r="AL37" s="26"/>
      <x:c r="AM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  <x:c r="AC38" s="26"/>
      <x:c r="AD38" s="26"/>
      <x:c r="AE38" s="26"/>
      <x:c r="AF38" s="26"/>
      <x:c r="AG38" s="26"/>
      <x:c r="AH38" s="26"/>
      <x:c r="AI38" s="26"/>
      <x:c r="AJ38" s="26"/>
      <x:c r="AK38" s="26"/>
      <x:c r="AL38" s="26"/>
      <x:c r="AM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  <x:c r="AC39" s="26"/>
      <x:c r="AD39" s="26"/>
      <x:c r="AE39" s="26"/>
      <x:c r="AF39" s="26"/>
      <x:c r="AG39" s="26"/>
      <x:c r="AH39" s="26"/>
      <x:c r="AI39" s="26"/>
      <x:c r="AJ39" s="26"/>
      <x:c r="AK39" s="26"/>
      <x:c r="AL39" s="26"/>
      <x:c r="AM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  <x:c r="AC40" s="26"/>
      <x:c r="AD40" s="26"/>
      <x:c r="AE40" s="26"/>
      <x:c r="AF40" s="26"/>
      <x:c r="AG40" s="26"/>
      <x:c r="AH40" s="26"/>
      <x:c r="AI40" s="26"/>
      <x:c r="AJ40" s="26"/>
      <x:c r="AK40" s="26"/>
      <x:c r="AL40" s="26"/>
      <x:c r="AM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  <x:c r="AG41" s="26"/>
      <x:c r="AH41" s="26"/>
      <x:c r="AI41" s="26"/>
      <x:c r="AJ41" s="26"/>
      <x:c r="AK41" s="26"/>
      <x:c r="AL41" s="26"/>
      <x:c r="AM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  <x:c r="AG42" s="26"/>
      <x:c r="AH42" s="26"/>
      <x:c r="AI42" s="26"/>
      <x:c r="AJ42" s="26"/>
      <x:c r="AK42" s="26"/>
      <x:c r="AL42" s="26"/>
      <x:c r="AM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  <x:c r="AG43" s="26"/>
      <x:c r="AH43" s="26"/>
      <x:c r="AI43" s="26"/>
      <x:c r="AJ43" s="26"/>
      <x:c r="AK43" s="26"/>
      <x:c r="AL43" s="26"/>
      <x:c r="AM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  <x:c r="AF44" s="26"/>
      <x:c r="AG44" s="26"/>
      <x:c r="AH44" s="26"/>
      <x:c r="AI44" s="26"/>
      <x:c r="AJ44" s="26"/>
      <x:c r="AK44" s="26"/>
      <x:c r="AL44" s="26"/>
      <x:c r="AM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26"/>
      <x:c r="AG45" s="26"/>
      <x:c r="AH45" s="26"/>
      <x:c r="AI45" s="26"/>
      <x:c r="AJ45" s="26"/>
      <x:c r="AK45" s="26"/>
      <x:c r="AL45" s="26"/>
      <x:c r="AM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  <x:c r="AG46" s="26"/>
      <x:c r="AH46" s="26"/>
      <x:c r="AI46" s="26"/>
      <x:c r="AJ46" s="26"/>
      <x:c r="AK46" s="26"/>
      <x:c r="AL46" s="26"/>
      <x:c r="AM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  <x:c r="AA47" s="26"/>
      <x:c r="AB47" s="26"/>
      <x:c r="AC47" s="26"/>
      <x:c r="AD47" s="26"/>
      <x:c r="AE47" s="26"/>
      <x:c r="AF47" s="26"/>
      <x:c r="AG47" s="26"/>
      <x:c r="AH47" s="26"/>
      <x:c r="AI47" s="26"/>
      <x:c r="AJ47" s="26"/>
      <x:c r="AK47" s="26"/>
      <x:c r="AL47" s="26"/>
      <x:c r="AM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  <x:c r="AA48" s="26"/>
      <x:c r="AB48" s="26"/>
      <x:c r="AC48" s="26"/>
      <x:c r="AD48" s="26"/>
      <x:c r="AE48" s="26"/>
      <x:c r="AF48" s="26"/>
      <x:c r="AG48" s="26"/>
      <x:c r="AH48" s="26"/>
      <x:c r="AI48" s="26"/>
      <x:c r="AJ48" s="26"/>
      <x:c r="AK48" s="26"/>
      <x:c r="AL48" s="26"/>
      <x:c r="AM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  <x:c r="AA49" s="26"/>
      <x:c r="AB49" s="26"/>
      <x:c r="AC49" s="26"/>
      <x:c r="AD49" s="26"/>
      <x:c r="AE49" s="26"/>
      <x:c r="AF49" s="26"/>
      <x:c r="AG49" s="26"/>
      <x:c r="AH49" s="26"/>
      <x:c r="AI49" s="26"/>
      <x:c r="AJ49" s="26"/>
      <x:c r="AK49" s="26"/>
      <x:c r="AL49" s="26"/>
      <x:c r="AM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  <x:c r="AA50" s="26"/>
      <x:c r="AB50" s="26"/>
      <x:c r="AC50" s="26"/>
      <x:c r="AD50" s="26"/>
      <x:c r="AE50" s="26"/>
      <x:c r="AF50" s="26"/>
      <x:c r="AG50" s="26"/>
      <x:c r="AH50" s="26"/>
      <x:c r="AI50" s="26"/>
      <x:c r="AJ50" s="26"/>
      <x:c r="AK50" s="26"/>
      <x:c r="AL50" s="26"/>
      <x:c r="AM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  <x:c r="AA51" s="26"/>
      <x:c r="AB51" s="26"/>
      <x:c r="AC51" s="26"/>
      <x:c r="AD51" s="26"/>
      <x:c r="AE51" s="26"/>
      <x:c r="AF51" s="26"/>
      <x:c r="AG51" s="26"/>
      <x:c r="AH51" s="26"/>
      <x:c r="AI51" s="26"/>
      <x:c r="AJ51" s="26"/>
      <x:c r="AK51" s="26"/>
      <x:c r="AL51" s="26"/>
      <x:c r="AM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  <x:c r="AA52" s="26"/>
      <x:c r="AB52" s="26"/>
      <x:c r="AC52" s="26"/>
      <x:c r="AD52" s="26"/>
      <x:c r="AE52" s="26"/>
      <x:c r="AF52" s="26"/>
      <x:c r="AG52" s="26"/>
      <x:c r="AH52" s="26"/>
      <x:c r="AI52" s="26"/>
      <x:c r="AJ52" s="26"/>
      <x:c r="AK52" s="26"/>
      <x:c r="AL52" s="26"/>
      <x:c r="AM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  <x:c r="AA53" s="26"/>
      <x:c r="AB53" s="26"/>
      <x:c r="AC53" s="26"/>
      <x:c r="AD53" s="26"/>
      <x:c r="AE53" s="26"/>
      <x:c r="AF53" s="26"/>
      <x:c r="AG53" s="26"/>
      <x:c r="AH53" s="26"/>
      <x:c r="AI53" s="26"/>
      <x:c r="AJ53" s="26"/>
      <x:c r="AK53" s="26"/>
      <x:c r="AL53" s="26"/>
      <x:c r="AM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  <x:c r="AA54" s="26"/>
      <x:c r="AB54" s="26"/>
      <x:c r="AC54" s="26"/>
      <x:c r="AD54" s="26"/>
      <x:c r="AE54" s="26"/>
      <x:c r="AF54" s="26"/>
      <x:c r="AG54" s="26"/>
      <x:c r="AH54" s="26"/>
      <x:c r="AI54" s="26"/>
      <x:c r="AJ54" s="26"/>
      <x:c r="AK54" s="26"/>
      <x:c r="AL54" s="26"/>
      <x:c r="AM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  <x:c r="AA55" s="26"/>
      <x:c r="AB55" s="26"/>
      <x:c r="AC55" s="26"/>
      <x:c r="AD55" s="26"/>
      <x:c r="AE55" s="26"/>
      <x:c r="AF55" s="26"/>
      <x:c r="AG55" s="26"/>
      <x:c r="AH55" s="26"/>
      <x:c r="AI55" s="26"/>
      <x:c r="AJ55" s="26"/>
      <x:c r="AK55" s="26"/>
      <x:c r="AL55" s="26"/>
      <x:c r="AM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  <x:c r="AA56" s="26"/>
      <x:c r="AB56" s="26"/>
      <x:c r="AC56" s="26"/>
      <x:c r="AD56" s="26"/>
      <x:c r="AE56" s="26"/>
      <x:c r="AF56" s="26"/>
      <x:c r="AG56" s="26"/>
      <x:c r="AH56" s="26"/>
      <x:c r="AI56" s="26"/>
      <x:c r="AJ56" s="26"/>
      <x:c r="AK56" s="26"/>
      <x:c r="AL56" s="26"/>
      <x:c r="AM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  <x:c r="AA57" s="26"/>
      <x:c r="AB57" s="26"/>
      <x:c r="AC57" s="26"/>
      <x:c r="AD57" s="26"/>
      <x:c r="AE57" s="26"/>
      <x:c r="AF57" s="26"/>
      <x:c r="AG57" s="26"/>
      <x:c r="AH57" s="26"/>
      <x:c r="AI57" s="26"/>
      <x:c r="AJ57" s="26"/>
      <x:c r="AK57" s="26"/>
      <x:c r="AL57" s="26"/>
      <x:c r="AM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  <x:c r="AA58" s="26"/>
      <x:c r="AB58" s="26"/>
      <x:c r="AC58" s="26"/>
      <x:c r="AD58" s="26"/>
      <x:c r="AE58" s="26"/>
      <x:c r="AF58" s="26"/>
      <x:c r="AG58" s="26"/>
      <x:c r="AH58" s="26"/>
      <x:c r="AI58" s="26"/>
      <x:c r="AJ58" s="26"/>
      <x:c r="AK58" s="26"/>
      <x:c r="AL58" s="26"/>
      <x:c r="AM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  <x:c r="AA59" s="26"/>
      <x:c r="AB59" s="26"/>
      <x:c r="AC59" s="26"/>
      <x:c r="AD59" s="26"/>
      <x:c r="AE59" s="26"/>
      <x:c r="AF59" s="26"/>
      <x:c r="AG59" s="26"/>
      <x:c r="AH59" s="26"/>
      <x:c r="AI59" s="26"/>
      <x:c r="AJ59" s="26"/>
      <x:c r="AK59" s="26"/>
      <x:c r="AL59" s="26"/>
      <x:c r="AM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6"/>
      <x:c r="AG60" s="26"/>
      <x:c r="AH60" s="26"/>
      <x:c r="AI60" s="26"/>
      <x:c r="AJ60" s="26"/>
      <x:c r="AK60" s="26"/>
      <x:c r="AL60" s="26"/>
      <x:c r="AM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  <x:c r="AA61" s="26"/>
      <x:c r="AB61" s="26"/>
      <x:c r="AC61" s="26"/>
      <x:c r="AD61" s="26"/>
      <x:c r="AE61" s="26"/>
      <x:c r="AF61" s="26"/>
      <x:c r="AG61" s="26"/>
      <x:c r="AH61" s="26"/>
      <x:c r="AI61" s="26"/>
      <x:c r="AJ61" s="26"/>
      <x:c r="AK61" s="26"/>
      <x:c r="AL61" s="26"/>
      <x:c r="AM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  <x:c r="AA62" s="26"/>
      <x:c r="AB62" s="26"/>
      <x:c r="AC62" s="26"/>
      <x:c r="AD62" s="26"/>
      <x:c r="AE62" s="26"/>
      <x:c r="AF62" s="26"/>
      <x:c r="AG62" s="26"/>
      <x:c r="AH62" s="26"/>
      <x:c r="AI62" s="26"/>
      <x:c r="AJ62" s="26"/>
      <x:c r="AK62" s="26"/>
      <x:c r="AL62" s="26"/>
      <x:c r="AM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  <x:c r="AA63" s="26"/>
      <x:c r="AB63" s="26"/>
      <x:c r="AC63" s="26"/>
      <x:c r="AD63" s="26"/>
      <x:c r="AE63" s="26"/>
      <x:c r="AF63" s="26"/>
      <x:c r="AG63" s="26"/>
      <x:c r="AH63" s="26"/>
      <x:c r="AI63" s="26"/>
      <x:c r="AJ63" s="26"/>
      <x:c r="AK63" s="26"/>
      <x:c r="AL63" s="26"/>
      <x:c r="AM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  <x:c r="AA64" s="26"/>
      <x:c r="AB64" s="26"/>
      <x:c r="AC64" s="26"/>
      <x:c r="AD64" s="26"/>
      <x:c r="AE64" s="26"/>
      <x:c r="AF64" s="26"/>
      <x:c r="AG64" s="26"/>
      <x:c r="AH64" s="26"/>
      <x:c r="AI64" s="26"/>
      <x:c r="AJ64" s="26"/>
      <x:c r="AK64" s="26"/>
      <x:c r="AL64" s="26"/>
      <x:c r="AM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  <x:c r="AA65" s="26"/>
      <x:c r="AB65" s="26"/>
      <x:c r="AC65" s="26"/>
      <x:c r="AD65" s="26"/>
      <x:c r="AE65" s="26"/>
      <x:c r="AF65" s="26"/>
      <x:c r="AG65" s="26"/>
      <x:c r="AH65" s="26"/>
      <x:c r="AI65" s="26"/>
      <x:c r="AJ65" s="26"/>
      <x:c r="AK65" s="26"/>
      <x:c r="AL65" s="26"/>
      <x:c r="AM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  <x:c r="AA66" s="26"/>
      <x:c r="AB66" s="26"/>
      <x:c r="AC66" s="26"/>
      <x:c r="AD66" s="26"/>
      <x:c r="AE66" s="26"/>
      <x:c r="AF66" s="26"/>
      <x:c r="AG66" s="26"/>
      <x:c r="AH66" s="26"/>
      <x:c r="AI66" s="26"/>
      <x:c r="AJ66" s="26"/>
      <x:c r="AK66" s="26"/>
      <x:c r="AL66" s="26"/>
      <x:c r="AM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  <x:c r="AA67" s="26"/>
      <x:c r="AB67" s="26"/>
      <x:c r="AC67" s="26"/>
      <x:c r="AD67" s="26"/>
      <x:c r="AE67" s="26"/>
      <x:c r="AF67" s="26"/>
      <x:c r="AG67" s="26"/>
      <x:c r="AH67" s="26"/>
      <x:c r="AI67" s="26"/>
      <x:c r="AJ67" s="26"/>
      <x:c r="AK67" s="26"/>
      <x:c r="AL67" s="26"/>
      <x:c r="AM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  <x:c r="AA68" s="26"/>
      <x:c r="AB68" s="26"/>
      <x:c r="AC68" s="26"/>
      <x:c r="AD68" s="26"/>
      <x:c r="AE68" s="26"/>
      <x:c r="AF68" s="26"/>
      <x:c r="AG68" s="26"/>
      <x:c r="AH68" s="26"/>
      <x:c r="AI68" s="26"/>
      <x:c r="AJ68" s="26"/>
      <x:c r="AK68" s="26"/>
      <x:c r="AL68" s="26"/>
      <x:c r="AM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  <x:c r="AA69" s="26"/>
      <x:c r="AB69" s="26"/>
      <x:c r="AC69" s="26"/>
      <x:c r="AD69" s="26"/>
      <x:c r="AE69" s="26"/>
      <x:c r="AF69" s="26"/>
      <x:c r="AG69" s="26"/>
      <x:c r="AH69" s="26"/>
      <x:c r="AI69" s="26"/>
      <x:c r="AJ69" s="26"/>
      <x:c r="AK69" s="26"/>
      <x:c r="AL69" s="26"/>
      <x:c r="AM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  <x:c r="AA70" s="26"/>
      <x:c r="AB70" s="26"/>
      <x:c r="AC70" s="26"/>
      <x:c r="AD70" s="26"/>
      <x:c r="AE70" s="26"/>
      <x:c r="AF70" s="26"/>
      <x:c r="AG70" s="26"/>
      <x:c r="AH70" s="26"/>
      <x:c r="AI70" s="26"/>
      <x:c r="AJ70" s="26"/>
      <x:c r="AK70" s="26"/>
      <x:c r="AL70" s="26"/>
      <x:c r="AM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  <x:c r="AA71" s="26"/>
      <x:c r="AB71" s="26"/>
      <x:c r="AC71" s="26"/>
      <x:c r="AD71" s="26"/>
      <x:c r="AE71" s="26"/>
      <x:c r="AF71" s="26"/>
      <x:c r="AG71" s="26"/>
      <x:c r="AH71" s="26"/>
      <x:c r="AI71" s="26"/>
      <x:c r="AJ71" s="26"/>
      <x:c r="AK71" s="26"/>
      <x:c r="AL71" s="26"/>
      <x:c r="AM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  <x:c r="AA72" s="26"/>
      <x:c r="AB72" s="26"/>
      <x:c r="AC72" s="26"/>
      <x:c r="AD72" s="26"/>
      <x:c r="AE72" s="26"/>
      <x:c r="AF72" s="26"/>
      <x:c r="AG72" s="26"/>
      <x:c r="AH72" s="26"/>
      <x:c r="AI72" s="26"/>
      <x:c r="AJ72" s="26"/>
      <x:c r="AK72" s="26"/>
      <x:c r="AL72" s="26"/>
      <x:c r="AM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6"/>
      <x:c r="AG73" s="26"/>
      <x:c r="AH73" s="26"/>
      <x:c r="AI73" s="26"/>
      <x:c r="AJ73" s="26"/>
      <x:c r="AK73" s="26"/>
      <x:c r="AL73" s="26"/>
      <x:c r="AM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  <x:c r="AA74" s="26"/>
      <x:c r="AB74" s="26"/>
      <x:c r="AC74" s="26"/>
      <x:c r="AD74" s="26"/>
      <x:c r="AE74" s="26"/>
      <x:c r="AF74" s="26"/>
      <x:c r="AG74" s="26"/>
      <x:c r="AH74" s="26"/>
      <x:c r="AI74" s="26"/>
      <x:c r="AJ74" s="26"/>
      <x:c r="AK74" s="26"/>
      <x:c r="AL74" s="26"/>
      <x:c r="AM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  <x:c r="AA75" s="26"/>
      <x:c r="AB75" s="26"/>
      <x:c r="AC75" s="26"/>
      <x:c r="AD75" s="26"/>
      <x:c r="AE75" s="26"/>
      <x:c r="AF75" s="26"/>
      <x:c r="AG75" s="26"/>
      <x:c r="AH75" s="26"/>
      <x:c r="AI75" s="26"/>
      <x:c r="AJ75" s="26"/>
      <x:c r="AK75" s="26"/>
      <x:c r="AL75" s="26"/>
      <x:c r="AM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  <x:c r="AA76" s="26"/>
      <x:c r="AB76" s="26"/>
      <x:c r="AC76" s="26"/>
      <x:c r="AD76" s="26"/>
      <x:c r="AE76" s="26"/>
      <x:c r="AF76" s="26"/>
      <x:c r="AG76" s="26"/>
      <x:c r="AH76" s="26"/>
      <x:c r="AI76" s="26"/>
      <x:c r="AJ76" s="26"/>
      <x:c r="AK76" s="26"/>
      <x:c r="AL76" s="26"/>
      <x:c r="AM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  <x:c r="AA77" s="26"/>
      <x:c r="AB77" s="26"/>
      <x:c r="AC77" s="26"/>
      <x:c r="AD77" s="26"/>
      <x:c r="AE77" s="26"/>
      <x:c r="AF77" s="26"/>
      <x:c r="AG77" s="26"/>
      <x:c r="AH77" s="26"/>
      <x:c r="AI77" s="26"/>
      <x:c r="AJ77" s="26"/>
      <x:c r="AK77" s="26"/>
      <x:c r="AL77" s="26"/>
      <x:c r="AM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  <x:c r="AA78" s="26"/>
      <x:c r="AB78" s="26"/>
      <x:c r="AC78" s="26"/>
      <x:c r="AD78" s="26"/>
      <x:c r="AE78" s="26"/>
      <x:c r="AF78" s="26"/>
      <x:c r="AG78" s="26"/>
      <x:c r="AH78" s="26"/>
      <x:c r="AI78" s="26"/>
      <x:c r="AJ78" s="26"/>
      <x:c r="AK78" s="26"/>
      <x:c r="AL78" s="26"/>
      <x:c r="AM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  <x:c r="AA79" s="26"/>
      <x:c r="AB79" s="26"/>
      <x:c r="AC79" s="26"/>
      <x:c r="AD79" s="26"/>
      <x:c r="AE79" s="26"/>
      <x:c r="AF79" s="26"/>
      <x:c r="AG79" s="26"/>
      <x:c r="AH79" s="26"/>
      <x:c r="AI79" s="26"/>
      <x:c r="AJ79" s="26"/>
      <x:c r="AK79" s="26"/>
      <x:c r="AL79" s="26"/>
      <x:c r="AM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  <x:c r="AA80" s="26"/>
      <x:c r="AB80" s="26"/>
      <x:c r="AC80" s="26"/>
      <x:c r="AD80" s="26"/>
      <x:c r="AE80" s="26"/>
      <x:c r="AF80" s="26"/>
      <x:c r="AG80" s="26"/>
      <x:c r="AH80" s="26"/>
      <x:c r="AI80" s="26"/>
      <x:c r="AJ80" s="26"/>
      <x:c r="AK80" s="26"/>
      <x:c r="AL80" s="26"/>
      <x:c r="AM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  <x:c r="AA81" s="26"/>
      <x:c r="AB81" s="26"/>
      <x:c r="AC81" s="26"/>
      <x:c r="AD81" s="26"/>
      <x:c r="AE81" s="26"/>
      <x:c r="AF81" s="26"/>
      <x:c r="AG81" s="26"/>
      <x:c r="AH81" s="26"/>
      <x:c r="AI81" s="26"/>
      <x:c r="AJ81" s="26"/>
      <x:c r="AK81" s="26"/>
      <x:c r="AL81" s="26"/>
      <x:c r="AM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  <x:c r="AA82" s="26"/>
      <x:c r="AB82" s="26"/>
      <x:c r="AC82" s="26"/>
      <x:c r="AD82" s="26"/>
      <x:c r="AE82" s="26"/>
      <x:c r="AF82" s="26"/>
      <x:c r="AG82" s="26"/>
      <x:c r="AH82" s="26"/>
      <x:c r="AI82" s="26"/>
      <x:c r="AJ82" s="26"/>
      <x:c r="AK82" s="26"/>
      <x:c r="AL82" s="26"/>
      <x:c r="AM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  <x:c r="AA83" s="26"/>
      <x:c r="AB83" s="26"/>
      <x:c r="AC83" s="26"/>
      <x:c r="AD83" s="26"/>
      <x:c r="AE83" s="26"/>
      <x:c r="AF83" s="26"/>
      <x:c r="AG83" s="26"/>
      <x:c r="AH83" s="26"/>
      <x:c r="AI83" s="26"/>
      <x:c r="AJ83" s="26"/>
      <x:c r="AK83" s="26"/>
      <x:c r="AL83" s="26"/>
      <x:c r="AM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  <x:c r="AA84" s="26"/>
      <x:c r="AB84" s="26"/>
      <x:c r="AC84" s="26"/>
      <x:c r="AD84" s="26"/>
      <x:c r="AE84" s="26"/>
      <x:c r="AF84" s="26"/>
      <x:c r="AG84" s="26"/>
      <x:c r="AH84" s="26"/>
      <x:c r="AI84" s="26"/>
      <x:c r="AJ84" s="26"/>
      <x:c r="AK84" s="26"/>
      <x:c r="AL84" s="26"/>
      <x:c r="AM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  <x:c r="AA85" s="26"/>
      <x:c r="AB85" s="26"/>
      <x:c r="AC85" s="26"/>
      <x:c r="AD85" s="26"/>
      <x:c r="AE85" s="26"/>
      <x:c r="AF85" s="26"/>
      <x:c r="AG85" s="26"/>
      <x:c r="AH85" s="26"/>
      <x:c r="AI85" s="26"/>
      <x:c r="AJ85" s="26"/>
      <x:c r="AK85" s="26"/>
      <x:c r="AL85" s="26"/>
      <x:c r="AM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6"/>
      <x:c r="AG86" s="26"/>
      <x:c r="AH86" s="26"/>
      <x:c r="AI86" s="26"/>
      <x:c r="AJ86" s="26"/>
      <x:c r="AK86" s="26"/>
      <x:c r="AL86" s="26"/>
      <x:c r="AM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  <x:c r="AA87" s="26"/>
      <x:c r="AB87" s="26"/>
      <x:c r="AC87" s="26"/>
      <x:c r="AD87" s="26"/>
      <x:c r="AE87" s="26"/>
      <x:c r="AF87" s="26"/>
      <x:c r="AG87" s="26"/>
      <x:c r="AH87" s="26"/>
      <x:c r="AI87" s="26"/>
      <x:c r="AJ87" s="26"/>
      <x:c r="AK87" s="26"/>
      <x:c r="AL87" s="26"/>
      <x:c r="AM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  <x:c r="AA88" s="26"/>
      <x:c r="AB88" s="26"/>
      <x:c r="AC88" s="26"/>
      <x:c r="AD88" s="26"/>
      <x:c r="AE88" s="26"/>
      <x:c r="AF88" s="26"/>
      <x:c r="AG88" s="26"/>
      <x:c r="AH88" s="26"/>
      <x:c r="AI88" s="26"/>
      <x:c r="AJ88" s="26"/>
      <x:c r="AK88" s="26"/>
      <x:c r="AL88" s="26"/>
      <x:c r="AM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  <x:c r="AA89" s="26"/>
      <x:c r="AB89" s="26"/>
      <x:c r="AC89" s="26"/>
      <x:c r="AD89" s="26"/>
      <x:c r="AE89" s="26"/>
      <x:c r="AF89" s="26"/>
      <x:c r="AG89" s="26"/>
      <x:c r="AH89" s="26"/>
      <x:c r="AI89" s="26"/>
      <x:c r="AJ89" s="26"/>
      <x:c r="AK89" s="26"/>
      <x:c r="AL89" s="26"/>
      <x:c r="AM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  <x:c r="AA90" s="26"/>
      <x:c r="AB90" s="26"/>
      <x:c r="AC90" s="26"/>
      <x:c r="AD90" s="26"/>
      <x:c r="AE90" s="26"/>
      <x:c r="AF90" s="26"/>
      <x:c r="AG90" s="26"/>
      <x:c r="AH90" s="26"/>
      <x:c r="AI90" s="26"/>
      <x:c r="AJ90" s="26"/>
      <x:c r="AK90" s="26"/>
      <x:c r="AL90" s="26"/>
      <x:c r="AM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  <x:c r="AA91" s="26"/>
      <x:c r="AB91" s="26"/>
      <x:c r="AC91" s="26"/>
      <x:c r="AD91" s="26"/>
      <x:c r="AE91" s="26"/>
      <x:c r="AF91" s="26"/>
      <x:c r="AG91" s="26"/>
      <x:c r="AH91" s="26"/>
      <x:c r="AI91" s="26"/>
      <x:c r="AJ91" s="26"/>
      <x:c r="AK91" s="26"/>
      <x:c r="AL91" s="26"/>
      <x:c r="AM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  <x:c r="AA92" s="26"/>
      <x:c r="AB92" s="26"/>
      <x:c r="AC92" s="26"/>
      <x:c r="AD92" s="26"/>
      <x:c r="AE92" s="26"/>
      <x:c r="AF92" s="26"/>
      <x:c r="AG92" s="26"/>
      <x:c r="AH92" s="26"/>
      <x:c r="AI92" s="26"/>
      <x:c r="AJ92" s="26"/>
      <x:c r="AK92" s="26"/>
      <x:c r="AL92" s="26"/>
      <x:c r="AM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  <x:c r="AA93" s="26"/>
      <x:c r="AB93" s="26"/>
      <x:c r="AC93" s="26"/>
      <x:c r="AD93" s="26"/>
      <x:c r="AE93" s="26"/>
      <x:c r="AF93" s="26"/>
      <x:c r="AG93" s="26"/>
      <x:c r="AH93" s="26"/>
      <x:c r="AI93" s="26"/>
      <x:c r="AJ93" s="26"/>
      <x:c r="AK93" s="26"/>
      <x:c r="AL93" s="26"/>
      <x:c r="AM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  <x:c r="AA94" s="26"/>
      <x:c r="AB94" s="26"/>
      <x:c r="AC94" s="26"/>
      <x:c r="AD94" s="26"/>
      <x:c r="AE94" s="26"/>
      <x:c r="AF94" s="26"/>
      <x:c r="AG94" s="26"/>
      <x:c r="AH94" s="26"/>
      <x:c r="AI94" s="26"/>
      <x:c r="AJ94" s="26"/>
      <x:c r="AK94" s="26"/>
      <x:c r="AL94" s="26"/>
      <x:c r="AM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  <x:c r="AA95" s="26"/>
      <x:c r="AB95" s="26"/>
      <x:c r="AC95" s="26"/>
      <x:c r="AD95" s="26"/>
      <x:c r="AE95" s="26"/>
      <x:c r="AF95" s="26"/>
      <x:c r="AG95" s="26"/>
      <x:c r="AH95" s="26"/>
      <x:c r="AI95" s="26"/>
      <x:c r="AJ95" s="26"/>
      <x:c r="AK95" s="26"/>
      <x:c r="AL95" s="26"/>
      <x:c r="AM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  <x:c r="AA96" s="26"/>
      <x:c r="AB96" s="26"/>
      <x:c r="AC96" s="26"/>
      <x:c r="AD96" s="26"/>
      <x:c r="AE96" s="26"/>
      <x:c r="AF96" s="26"/>
      <x:c r="AG96" s="26"/>
      <x:c r="AH96" s="26"/>
      <x:c r="AI96" s="26"/>
      <x:c r="AJ96" s="26"/>
      <x:c r="AK96" s="26"/>
      <x:c r="AL96" s="26"/>
      <x:c r="AM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  <x:c r="AA97" s="26"/>
      <x:c r="AB97" s="26"/>
      <x:c r="AC97" s="26"/>
      <x:c r="AD97" s="26"/>
      <x:c r="AE97" s="26"/>
      <x:c r="AF97" s="26"/>
      <x:c r="AG97" s="26"/>
      <x:c r="AH97" s="26"/>
      <x:c r="AI97" s="26"/>
      <x:c r="AJ97" s="26"/>
      <x:c r="AK97" s="26"/>
      <x:c r="AL97" s="26"/>
      <x:c r="AM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  <x:c r="AA98" s="26"/>
      <x:c r="AB98" s="26"/>
      <x:c r="AC98" s="26"/>
      <x:c r="AD98" s="26"/>
      <x:c r="AE98" s="26"/>
      <x:c r="AF98" s="26"/>
      <x:c r="AG98" s="26"/>
      <x:c r="AH98" s="26"/>
      <x:c r="AI98" s="26"/>
      <x:c r="AJ98" s="26"/>
      <x:c r="AK98" s="26"/>
      <x:c r="AL98" s="26"/>
      <x:c r="AM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6"/>
      <x:c r="AG99" s="26"/>
      <x:c r="AH99" s="26"/>
      <x:c r="AI99" s="26"/>
      <x:c r="AJ99" s="26"/>
      <x:c r="AK99" s="26"/>
      <x:c r="AL99" s="26"/>
      <x:c r="AM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  <x:c r="AA100" s="26"/>
      <x:c r="AB100" s="26"/>
      <x:c r="AC100" s="26"/>
      <x:c r="AD100" s="26"/>
      <x:c r="AE100" s="26"/>
      <x:c r="AF100" s="26"/>
      <x:c r="AG100" s="26"/>
      <x:c r="AH100" s="26"/>
      <x:c r="AI100" s="26"/>
      <x:c r="AJ100" s="26"/>
      <x:c r="AK100" s="26"/>
      <x:c r="AL100" s="26"/>
      <x:c r="AM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  <x:c r="AA101" s="26"/>
      <x:c r="AB101" s="26"/>
      <x:c r="AC101" s="26"/>
      <x:c r="AD101" s="26"/>
      <x:c r="AE101" s="26"/>
      <x:c r="AF101" s="26"/>
      <x:c r="AG101" s="26"/>
      <x:c r="AH101" s="26"/>
      <x:c r="AI101" s="26"/>
      <x:c r="AJ101" s="26"/>
      <x:c r="AK101" s="26"/>
      <x:c r="AL101" s="26"/>
      <x:c r="AM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  <x:c r="AA102" s="26"/>
      <x:c r="AB102" s="26"/>
      <x:c r="AC102" s="26"/>
      <x:c r="AD102" s="26"/>
      <x:c r="AE102" s="26"/>
      <x:c r="AF102" s="26"/>
      <x:c r="AG102" s="26"/>
      <x:c r="AH102" s="26"/>
      <x:c r="AI102" s="26"/>
      <x:c r="AJ102" s="26"/>
      <x:c r="AK102" s="26"/>
      <x:c r="AL102" s="26"/>
      <x:c r="AM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  <x:c r="AA103" s="26"/>
      <x:c r="AB103" s="26"/>
      <x:c r="AC103" s="26"/>
      <x:c r="AD103" s="26"/>
      <x:c r="AE103" s="26"/>
      <x:c r="AF103" s="26"/>
      <x:c r="AG103" s="26"/>
      <x:c r="AH103" s="26"/>
      <x:c r="AI103" s="26"/>
      <x:c r="AJ103" s="26"/>
      <x:c r="AK103" s="26"/>
      <x:c r="AL103" s="26"/>
      <x:c r="AM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  <x:c r="AA104" s="26"/>
      <x:c r="AB104" s="26"/>
      <x:c r="AC104" s="26"/>
      <x:c r="AD104" s="26"/>
      <x:c r="AE104" s="26"/>
      <x:c r="AF104" s="26"/>
      <x:c r="AG104" s="26"/>
      <x:c r="AH104" s="26"/>
      <x:c r="AI104" s="26"/>
      <x:c r="AJ104" s="26"/>
      <x:c r="AK104" s="26"/>
      <x:c r="AL104" s="26"/>
      <x:c r="AM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  <x:c r="AA105" s="26"/>
      <x:c r="AB105" s="26"/>
      <x:c r="AC105" s="26"/>
      <x:c r="AD105" s="26"/>
      <x:c r="AE105" s="26"/>
      <x:c r="AF105" s="26"/>
      <x:c r="AG105" s="26"/>
      <x:c r="AH105" s="26"/>
      <x:c r="AI105" s="26"/>
      <x:c r="AJ105" s="26"/>
      <x:c r="AK105" s="26"/>
      <x:c r="AL105" s="26"/>
      <x:c r="AM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  <x:c r="AA106" s="26"/>
      <x:c r="AB106" s="26"/>
      <x:c r="AC106" s="26"/>
      <x:c r="AD106" s="26"/>
      <x:c r="AE106" s="26"/>
      <x:c r="AF106" s="26"/>
      <x:c r="AG106" s="26"/>
      <x:c r="AH106" s="26"/>
      <x:c r="AI106" s="26"/>
      <x:c r="AJ106" s="26"/>
      <x:c r="AK106" s="26"/>
      <x:c r="AL106" s="26"/>
      <x:c r="AM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  <x:c r="AA107" s="26"/>
      <x:c r="AB107" s="26"/>
      <x:c r="AC107" s="26"/>
      <x:c r="AD107" s="26"/>
      <x:c r="AE107" s="26"/>
      <x:c r="AF107" s="26"/>
      <x:c r="AG107" s="26"/>
      <x:c r="AH107" s="26"/>
      <x:c r="AI107" s="26"/>
      <x:c r="AJ107" s="26"/>
      <x:c r="AK107" s="26"/>
      <x:c r="AL107" s="26"/>
      <x:c r="AM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  <x:c r="AA108" s="26"/>
      <x:c r="AB108" s="26"/>
      <x:c r="AC108" s="26"/>
      <x:c r="AD108" s="26"/>
      <x:c r="AE108" s="26"/>
      <x:c r="AF108" s="26"/>
      <x:c r="AG108" s="26"/>
      <x:c r="AH108" s="26"/>
      <x:c r="AI108" s="26"/>
      <x:c r="AJ108" s="26"/>
      <x:c r="AK108" s="26"/>
      <x:c r="AL108" s="26"/>
      <x:c r="AM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  <x:c r="AA109" s="26"/>
      <x:c r="AB109" s="26"/>
      <x:c r="AC109" s="26"/>
      <x:c r="AD109" s="26"/>
      <x:c r="AE109" s="26"/>
      <x:c r="AF109" s="26"/>
      <x:c r="AG109" s="26"/>
      <x:c r="AH109" s="26"/>
      <x:c r="AI109" s="26"/>
      <x:c r="AJ109" s="26"/>
      <x:c r="AK109" s="26"/>
      <x:c r="AL109" s="26"/>
      <x:c r="AM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  <x:c r="AA110" s="26"/>
      <x:c r="AB110" s="26"/>
      <x:c r="AC110" s="26"/>
      <x:c r="AD110" s="26"/>
      <x:c r="AE110" s="26"/>
      <x:c r="AF110" s="26"/>
      <x:c r="AG110" s="26"/>
      <x:c r="AH110" s="26"/>
      <x:c r="AI110" s="26"/>
      <x:c r="AJ110" s="26"/>
      <x:c r="AK110" s="26"/>
      <x:c r="AL110" s="26"/>
      <x:c r="AM110" s="2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3" t="str">
        <x:v>Column 1</x:v>
      </x:c>
      <x:c r="B1" s="23" t="str">
        <x:v>Tên QA</x:v>
      </x:c>
      <x:c r="C1" s="23" t="str">
        <x:v>Tên CSO</x:v>
      </x:c>
      <x:c r="D1" s="23" t="str">
        <x:v>Ngày chấm </x:v>
      </x:c>
      <x:c r="E1" s="23" t="str">
        <x:v>ID Mantis</x:v>
      </x:c>
      <x:c r="F1" s="23" t="str">
        <x:v>KHÁCH HÀNG</x:v>
      </x:c>
      <x:c r="G1" s="23" t="str">
        <x:v>Nguồn</x:v>
      </x:c>
      <x:c r="H1" s="23" t="str">
        <x:v>Column 8</x:v>
      </x:c>
      <x:c r="I1" s="23" t="str">
        <x:v>Column 9</x:v>
      </x:c>
      <x:c r="J1" s="23" t="str">
        <x:v>1.1.1. Ngôn ngữ phổ thông, dễ hiểu, không sử dụng thuật ngữ chuyên ngành, từ địa phương, thuật ngữ tiếng Anh.</x:v>
      </x:c>
      <x:c r="K1" s="23" t="str">
        <x:v>1.1.2. Dùng từ "vui lòng" khi hỏi thông tin khách hàng và trong trường hợp cần thiết.</x:v>
      </x:c>
      <x:c r="L1" s="23" t="str">
        <x:v>1.1.3.
* Ngôn từ đúng mực (không dùng câu cộc lốc thiếu chủ vị, không đủ ý, sai khiến, mệnh lệnh). 
* Không sử dụng thẳng hoặc cộc lốc từ "không" khi trả lời câu hỏi, thắc mắc của KH.</x:v>
      </x:c>
      <x:c r="M1" s="23" t="str">
        <x:v>1.2.1 Xin lỗi KH khi cần thiết</x:v>
      </x:c>
      <x:c r="N1" s="23" t="str">
        <x:v>1.2.2 Cảm ơn KH khi cần thiết</x:v>
      </x:c>
      <x:c r="O1" s="23" t="str">
        <x:v>Column 15</x:v>
      </x:c>
      <x:c r="P1" s="23" t="str">
        <x:v>Column 16</x:v>
      </x:c>
      <x:c r="Q1" s="23" t="str">
        <x:v>Column 17</x:v>
      </x:c>
      <x:c r="R1" s="23" t="str">
        <x:v>Column 18</x:v>
      </x:c>
      <x:c r="S1" s="23" t="str">
        <x:v>Column 19</x:v>
      </x:c>
      <x:c r="T1" s="23" t="str">
        <x:v>Column 20</x:v>
      </x:c>
      <x:c r="U1" s="23" t="str">
        <x:v>Column 21</x:v>
      </x:c>
      <x:c r="V1" s="23" t="str">
        <x:v>Column 22</x:v>
      </x:c>
      <x:c r="W1" s="23" t="str">
        <x:v>ĐIỂM MẠNH</x:v>
      </x:c>
      <x:c r="X1" s="23" t="str">
        <x:v>ĐIỂM CẦN CẢI THIỆN</x:v>
      </x:c>
      <x:c r="Y1" s="23" t="str">
        <x:v>NOTE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3" hidden="0" customWidth="1"/>
    <x:col min="5" max="5" width="25" hidden="0" customWidth="1"/>
    <x:col min="6" max="6" width="11" hidden="0" customWidth="1"/>
    <x:col min="7" max="7" width="13" hidden="0" customWidth="1"/>
    <x:col min="8" max="8" width="14" hidden="0" customWidth="1"/>
    <x:col min="9" max="9" width="15" hidden="0" customWidth="1"/>
    <x:col min="10" max="10" width="14" hidden="0" customWidth="1"/>
    <x:col min="11" max="11" width="16" hidden="0" customWidth="1"/>
    <x:col min="12" max="12" width="40" hidden="0" customWidth="1"/>
  </x:cols>
  <x:sheetData>
    <x:row r="1">
      <x:c r="A1" s="23" t="str">
        <x:v>Kỳ báo cáo</x:v>
      </x:c>
      <x:c r="B1" s="23" t="str">
        <x:v>Sản phẩm</x:v>
      </x:c>
      <x:c r="C1" s="23" t="str">
        <x:v>Kênh</x:v>
      </x:c>
      <x:c r="D1" s="23" t="str">
        <x:v>Extension</x:v>
      </x:c>
      <x:c r="E1" s="23" t="str">
        <x:v>Tên CSO</x:v>
      </x:c>
      <x:c r="F1" s="23" t="str">
        <x:v>Điểm QA</x:v>
      </x:c>
      <x:c r="G1" s="23" t="str">
        <x:v>Lỗi mở đầu</x:v>
      </x:c>
      <x:c r="H1" s="23" t="str">
        <x:v>Lỗi giao tiếp</x:v>
      </x:c>
      <x:c r="I1" s="23" t="str">
        <x:v>Lỗi nghiệp vụ</x:v>
      </x:c>
      <x:c r="J1" s="23" t="str">
        <x:v>Lỗi kết thúc</x:v>
      </x:c>
      <x:c r="K1" s="23" t="str">
        <x:v>Cuộc gọi có lỗi</x:v>
      </x:c>
      <x:c r="L1" s="23" t="str">
        <x:v>Mô tả lỗi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</x:row>
    <x:row r="520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</x:row>
    <x:row r="52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</x:row>
    <x:row r="522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</x:row>
    <x:row r="523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</x:row>
    <x:row r="524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</x:row>
    <x:row r="525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</x:row>
    <x:row r="526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</x:row>
    <x:row r="527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</x:row>
    <x:row r="528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</x:row>
    <x:row r="529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</x:row>
    <x:row r="530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</x:row>
    <x:row r="53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</x:row>
    <x:row r="532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</x:row>
    <x:row r="533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</x:row>
    <x:row r="534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</x:row>
    <x:row r="535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</x:row>
    <x:row r="536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</x:row>
    <x:row r="537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</x:row>
    <x:row r="538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</x:row>
    <x:row r="539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</x:row>
    <x:row r="540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</x:row>
    <x:row r="54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</x:row>
    <x:row r="542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</x:row>
    <x:row r="543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</x:row>
    <x:row r="544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</x:row>
    <x:row r="545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</x:row>
    <x:row r="546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</x:row>
    <x:row r="547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</x:row>
    <x:row r="548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</x:row>
    <x:row r="549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</x:row>
    <x:row r="550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</x:row>
    <x:row r="55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</x:row>
    <x:row r="552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</x:row>
    <x:row r="553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</x:row>
    <x:row r="554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</x:row>
    <x:row r="555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</x:row>
    <x:row r="556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</x:row>
    <x:row r="557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</x:row>
    <x:row r="558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</x:row>
    <x:row r="559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</x:row>
    <x:row r="560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</x:row>
    <x:row r="56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</x:row>
    <x:row r="562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</x:row>
    <x:row r="563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</x:row>
    <x:row r="564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</x:row>
    <x:row r="565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</x:row>
    <x:row r="566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</x:row>
    <x:row r="567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</x:row>
    <x:row r="568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</x:row>
    <x:row r="569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</x:row>
    <x:row r="570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</x:row>
    <x:row r="57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</x:row>
    <x:row r="572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</x:row>
    <x:row r="573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</x:row>
    <x:row r="574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</x:row>
    <x:row r="575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</x:row>
    <x:row r="576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</x:row>
    <x:row r="577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</x:row>
    <x:row r="578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</x:row>
    <x:row r="579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</x:row>
    <x:row r="580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</x:row>
    <x:row r="58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</x:row>
    <x:row r="582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</x:row>
    <x:row r="583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</x:row>
    <x:row r="584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</x:row>
    <x:row r="585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</x:row>
    <x:row r="586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</x:row>
    <x:row r="587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</x:row>
    <x:row r="588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</x:row>
    <x:row r="589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</x:row>
    <x:row r="590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</x:row>
    <x:row r="59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</x:row>
    <x:row r="592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</x:row>
    <x:row r="593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</x:row>
    <x:row r="594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</x:row>
    <x:row r="595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</x:row>
    <x:row r="596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</x:row>
    <x:row r="597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</x:row>
    <x:row r="598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</x:row>
    <x:row r="599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</x:row>
    <x:row r="600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</x:row>
    <x:row r="60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</x:row>
    <x:row r="602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</x:row>
    <x:row r="603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</x:row>
    <x:row r="604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</x:row>
    <x:row r="605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</x:row>
    <x:row r="606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</x:row>
    <x:row r="607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</x:row>
    <x:row r="608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</x:row>
    <x:row r="609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</x:row>
    <x:row r="610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</x:row>
    <x:row r="61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</x:row>
    <x:row r="612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</x:row>
    <x:row r="613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</x:row>
    <x:row r="614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</x:row>
    <x:row r="615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</x:row>
    <x:row r="616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</x:row>
    <x:row r="617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</x:row>
    <x:row r="618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</x:row>
    <x:row r="619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</x:row>
    <x:row r="620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</x:row>
    <x:row r="62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</x:row>
    <x:row r="622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</x:row>
    <x:row r="623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</x:row>
    <x:row r="624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</x:row>
    <x:row r="625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</x:row>
    <x:row r="626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</x:row>
    <x:row r="627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</x:row>
    <x:row r="628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</x:row>
    <x:row r="629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</x:row>
    <x:row r="630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</x:row>
    <x:row r="63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</x:row>
    <x:row r="632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</x:row>
    <x:row r="633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</x:row>
    <x:row r="634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</x:row>
    <x:row r="635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</x:row>
    <x:row r="636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</x:row>
    <x:row r="637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</x:row>
    <x:row r="638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</x:row>
    <x:row r="639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</x:row>
    <x:row r="640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</x:row>
    <x:row r="64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</x:row>
    <x:row r="642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</x:row>
    <x:row r="643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</x:row>
    <x:row r="644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</x:row>
    <x:row r="645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</x:row>
    <x:row r="646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</x:row>
    <x:row r="647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</x:row>
    <x:row r="648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</x:row>
    <x:row r="649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</x:row>
    <x:row r="650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</x:row>
    <x:row r="65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</x:row>
    <x:row r="652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</x:row>
    <x:row r="653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</x:row>
    <x:row r="654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</x:row>
    <x:row r="655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</x:row>
    <x:row r="656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</x:row>
    <x:row r="657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</x:row>
    <x:row r="658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</x:row>
    <x:row r="659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</x:row>
    <x:row r="660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</x:row>
    <x:row r="66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</x:row>
    <x:row r="662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</x:row>
    <x:row r="663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</x:row>
    <x:row r="664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</x:row>
    <x:row r="665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</x:row>
    <x:row r="666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</x:row>
    <x:row r="667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</x:row>
    <x:row r="668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</x:row>
    <x:row r="669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</x:row>
    <x:row r="670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</x:row>
    <x:row r="67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</x:row>
    <x:row r="672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</x:row>
    <x:row r="673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</x:row>
    <x:row r="674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</x:row>
    <x:row r="675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</x:row>
    <x:row r="676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</x:row>
    <x:row r="677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</x:row>
    <x:row r="678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</x:row>
    <x:row r="679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</x:row>
    <x:row r="680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</x:row>
    <x:row r="68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</x:row>
    <x:row r="682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</x:row>
    <x:row r="683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</x:row>
    <x:row r="684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</x:row>
    <x:row r="685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</x:row>
    <x:row r="686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</x:row>
    <x:row r="687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</x:row>
    <x:row r="688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</x:row>
    <x:row r="689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</x:row>
    <x:row r="690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</x:row>
    <x:row r="69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</x:row>
    <x:row r="692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</x:row>
    <x:row r="693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</x:row>
    <x:row r="694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</x:row>
    <x:row r="695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</x:row>
    <x:row r="696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</x:row>
    <x:row r="697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</x:row>
    <x:row r="698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</x:row>
    <x:row r="699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</x:row>
    <x:row r="700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</x:row>
    <x:row r="70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</x:row>
    <x:row r="702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</x:row>
    <x:row r="703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</x:row>
    <x:row r="704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</x:row>
    <x:row r="705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</x:row>
    <x:row r="706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</x:row>
    <x:row r="707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</x:row>
    <x:row r="708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</x:row>
    <x:row r="709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</x:row>
    <x:row r="710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</x:row>
    <x:row r="71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</x:row>
    <x:row r="712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</x:row>
    <x:row r="713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</x:row>
    <x:row r="714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</x:row>
    <x:row r="715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</x:row>
    <x:row r="716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</x:row>
    <x:row r="717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</x:row>
    <x:row r="718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</x:row>
    <x:row r="719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</x:row>
    <x:row r="720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</x:row>
    <x:row r="72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</x:row>
    <x:row r="722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</x:row>
    <x:row r="723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</x:row>
    <x:row r="724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</x:row>
    <x:row r="725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</x:row>
    <x:row r="726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</x:row>
    <x:row r="727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</x:row>
    <x:row r="728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</x:row>
    <x:row r="729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</x:row>
    <x:row r="730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</x:row>
    <x:row r="73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</x:row>
    <x:row r="732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</x:row>
    <x:row r="733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</x:row>
    <x:row r="734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</x:row>
    <x:row r="735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</x:row>
    <x:row r="736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</x:row>
    <x:row r="737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</x:row>
    <x:row r="738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</x:row>
    <x:row r="739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</x:row>
    <x:row r="740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</x:row>
    <x:row r="74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</x:row>
    <x:row r="742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</x:row>
    <x:row r="743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</x:row>
    <x:row r="744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</x:row>
    <x:row r="745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</x:row>
    <x:row r="746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</x:row>
    <x:row r="747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</x:row>
    <x:row r="748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</x:row>
    <x:row r="749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</x:row>
    <x:row r="750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</x:row>
    <x:row r="75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</x:row>
    <x:row r="752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</x:row>
    <x:row r="753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</x:row>
    <x:row r="754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</x:row>
    <x:row r="755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</x:row>
    <x:row r="756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</x:row>
    <x:row r="757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</x:row>
    <x:row r="758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</x:row>
    <x:row r="759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</x:row>
    <x:row r="760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</x:row>
    <x:row r="76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</x:row>
    <x:row r="762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</x:row>
    <x:row r="763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</x:row>
    <x:row r="764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</x:row>
    <x:row r="765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</x:row>
    <x:row r="766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</x:row>
    <x:row r="767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</x:row>
    <x:row r="768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</x:row>
    <x:row r="769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</x:row>
    <x:row r="770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</x:row>
    <x:row r="77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</x:row>
    <x:row r="772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</x:row>
    <x:row r="773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</x:row>
    <x:row r="774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</x:row>
    <x:row r="775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</x:row>
    <x:row r="776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</x:row>
    <x:row r="777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</x:row>
    <x:row r="778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</x:row>
    <x:row r="779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</x:row>
    <x:row r="780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</x:row>
    <x:row r="78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</x:row>
    <x:row r="782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</x:row>
    <x:row r="783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</x:row>
    <x:row r="784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</x:row>
    <x:row r="785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</x:row>
    <x:row r="786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</x:row>
    <x:row r="787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</x:row>
    <x:row r="788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</x:row>
    <x:row r="789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</x:row>
    <x:row r="790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</x:row>
    <x:row r="79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</x:row>
    <x:row r="792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</x:row>
    <x:row r="793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</x:row>
    <x:row r="794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</x:row>
    <x:row r="795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</x:row>
    <x:row r="796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</x:row>
    <x:row r="797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</x:row>
    <x:row r="798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</x:row>
    <x:row r="799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</x:row>
    <x:row r="800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</x:row>
    <x:row r="80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</x:row>
    <x:row r="802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</x:row>
    <x:row r="803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</x:row>
    <x:row r="804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</x:row>
    <x:row r="805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</x:row>
    <x:row r="806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</x:row>
    <x:row r="807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</x:row>
    <x:row r="808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</x:row>
    <x:row r="809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</x:row>
    <x:row r="810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</x:row>
    <x:row r="81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</x:row>
    <x:row r="812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</x:row>
    <x:row r="813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</x:row>
    <x:row r="814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</x:row>
    <x:row r="815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</x:row>
    <x:row r="816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</x:row>
    <x:row r="817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</x:row>
    <x:row r="818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</x:row>
    <x:row r="819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</x:row>
    <x:row r="820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</x:row>
    <x:row r="82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</x:row>
    <x:row r="822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</x:row>
    <x:row r="823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</x:row>
    <x:row r="824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</x:row>
    <x:row r="825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</x:row>
    <x:row r="826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</x:row>
    <x:row r="827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</x:row>
    <x:row r="828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</x:row>
    <x:row r="829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</x:row>
    <x:row r="830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</x:row>
    <x:row r="83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</x:row>
    <x:row r="832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</x:row>
    <x:row r="833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</x:row>
    <x:row r="834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</x:row>
    <x:row r="835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</x:row>
    <x:row r="836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</x:row>
    <x:row r="837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</x:row>
    <x:row r="838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</x:row>
    <x:row r="839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</x:row>
    <x:row r="840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</x:row>
    <x:row r="84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</x:row>
    <x:row r="842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</x:row>
    <x:row r="843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</x:row>
    <x:row r="844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</x:row>
    <x:row r="845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</x:row>
    <x:row r="846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</x:row>
    <x:row r="847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</x:row>
    <x:row r="848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</x:row>
    <x:row r="849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</x:row>
    <x:row r="850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</x:row>
    <x:row r="85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</x:row>
    <x:row r="852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</x:row>
    <x:row r="853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</x:row>
    <x:row r="854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</x:row>
    <x:row r="855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</x:row>
    <x:row r="856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</x:row>
    <x:row r="857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</x:row>
    <x:row r="858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</x:row>
    <x:row r="859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</x:row>
    <x:row r="860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</x:row>
    <x:row r="86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</x:row>
    <x:row r="862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</x:row>
    <x:row r="863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</x:row>
    <x:row r="864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</x:row>
    <x:row r="865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</x:row>
    <x:row r="866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</x:row>
    <x:row r="867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</x:row>
    <x:row r="868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</x:row>
    <x:row r="869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</x:row>
    <x:row r="870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</x:row>
    <x:row r="87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</x:row>
    <x:row r="872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</x:row>
    <x:row r="873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</x:row>
    <x:row r="874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</x:row>
    <x:row r="875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</x:row>
    <x:row r="876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</x:row>
    <x:row r="877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</x:row>
    <x:row r="878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</x:row>
    <x:row r="879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</x:row>
    <x:row r="880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</x:row>
    <x:row r="88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</x:row>
    <x:row r="882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</x:row>
    <x:row r="883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</x:row>
    <x:row r="884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</x:row>
    <x:row r="885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</x:row>
    <x:row r="886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</x:row>
    <x:row r="887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</x:row>
    <x:row r="888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</x:row>
    <x:row r="889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</x:row>
    <x:row r="890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</x:row>
    <x:row r="89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</x:row>
    <x:row r="892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</x:row>
    <x:row r="893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</x:row>
    <x:row r="894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</x:row>
    <x:row r="895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</x:row>
    <x:row r="896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</x:row>
    <x:row r="897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</x:row>
    <x:row r="898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</x:row>
    <x:row r="899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</x:row>
    <x:row r="900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</x:row>
    <x:row r="90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</x:row>
    <x:row r="902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</x:row>
    <x:row r="903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</x:row>
    <x:row r="904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</x:row>
    <x:row r="905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</x:row>
    <x:row r="906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</x:row>
    <x:row r="907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</x:row>
    <x:row r="908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</x:row>
    <x:row r="909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</x:row>
    <x:row r="910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</x:row>
    <x:row r="91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</x:row>
    <x:row r="912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</x:row>
    <x:row r="913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</x:row>
    <x:row r="914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</x:row>
    <x:row r="915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</x:row>
    <x:row r="916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</x:row>
    <x:row r="917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</x:row>
    <x:row r="918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</x:row>
    <x:row r="919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</x:row>
    <x:row r="920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</x:row>
    <x:row r="92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</x:row>
    <x:row r="922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</x:row>
    <x:row r="923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</x:row>
    <x:row r="924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</x:row>
    <x:row r="925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</x:row>
    <x:row r="926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</x:row>
    <x:row r="927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</x:row>
    <x:row r="928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</x:row>
    <x:row r="929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</x:row>
    <x:row r="930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</x:row>
    <x:row r="93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</x:row>
    <x:row r="932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</x:row>
    <x:row r="933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</x:row>
    <x:row r="934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</x:row>
    <x:row r="935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</x:row>
    <x:row r="936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</x:row>
    <x:row r="937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</x:row>
    <x:row r="938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</x:row>
    <x:row r="939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</x:row>
    <x:row r="940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</x:row>
    <x:row r="94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</x:row>
    <x:row r="942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</x:row>
    <x:row r="943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</x:row>
    <x:row r="944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</x:row>
    <x:row r="945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</x:row>
    <x:row r="946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</x:row>
    <x:row r="947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</x:row>
    <x:row r="948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</x:row>
    <x:row r="949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</x:row>
    <x:row r="950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</x:row>
    <x:row r="95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</x:row>
    <x:row r="952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</x:row>
    <x:row r="953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</x:row>
    <x:row r="954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</x:row>
    <x:row r="955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</x:row>
    <x:row r="956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</x:row>
    <x:row r="957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</x:row>
    <x:row r="958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</x:row>
    <x:row r="959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</x:row>
    <x:row r="960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</x:row>
    <x:row r="96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</x:row>
    <x:row r="962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</x:row>
    <x:row r="963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</x:row>
    <x:row r="964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</x:row>
    <x:row r="965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</x:row>
    <x:row r="966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</x:row>
    <x:row r="967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</x:row>
    <x:row r="968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</x:row>
    <x:row r="969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</x:row>
    <x:row r="970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</x:row>
    <x:row r="97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</x:row>
    <x:row r="972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</x:row>
    <x:row r="973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</x:row>
    <x:row r="974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</x:row>
    <x:row r="975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</x:row>
    <x:row r="976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</x:row>
    <x:row r="977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</x:row>
    <x:row r="978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</x:row>
    <x:row r="979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</x:row>
    <x:row r="980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</x:row>
    <x:row r="98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</x:row>
    <x:row r="982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</x:row>
    <x:row r="983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</x:row>
    <x:row r="984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</x:row>
    <x:row r="985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</x:row>
    <x:row r="986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</x:row>
    <x:row r="987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</x:row>
    <x:row r="988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</x:row>
    <x:row r="989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</x:row>
    <x:row r="990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</x:row>
    <x:row r="99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</x:row>
    <x:row r="992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</x:row>
    <x:row r="993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</x:row>
    <x:row r="994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</x:row>
    <x:row r="995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</x:row>
    <x:row r="996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</x:row>
    <x:row r="997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</x:row>
    <x:row r="998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</x:row>
    <x:row r="999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  <x:c r="K999" s="26"/>
      <x:c r="L999" s="26"/>
    </x:row>
    <x:row r="1000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  <x:c r="K1000" s="26"/>
      <x:c r="L1000" s="26"/>
    </x:row>
    <x:row r="1001">
      <x:c r="A1001" s="26"/>
      <x:c r="B1001" s="26"/>
      <x:c r="C1001" s="26"/>
      <x:c r="D1001" s="26"/>
      <x:c r="E1001" s="26"/>
      <x:c r="F1001" s="26"/>
      <x:c r="G1001" s="26"/>
      <x:c r="H1001" s="26"/>
      <x:c r="I1001" s="26"/>
      <x:c r="J1001" s="26"/>
      <x:c r="K1001" s="26"/>
      <x:c r="L1001" s="26"/>
    </x:row>
    <x:row r="1002">
      <x:c r="A1002" s="26"/>
      <x:c r="B1002" s="26"/>
      <x:c r="C1002" s="26"/>
      <x:c r="D1002" s="26"/>
      <x:c r="E1002" s="26"/>
      <x:c r="F1002" s="26"/>
      <x:c r="G1002" s="26"/>
      <x:c r="H1002" s="26"/>
      <x:c r="I1002" s="26"/>
      <x:c r="J1002" s="26"/>
      <x:c r="K1002" s="26"/>
      <x:c r="L1002" s="26"/>
    </x:row>
    <x:row r="1003">
      <x:c r="A1003" s="26"/>
      <x:c r="B1003" s="26"/>
      <x:c r="C1003" s="26"/>
      <x:c r="D1003" s="26"/>
      <x:c r="E1003" s="26"/>
      <x:c r="F1003" s="26"/>
      <x:c r="G1003" s="26"/>
      <x:c r="H1003" s="26"/>
      <x:c r="I1003" s="26"/>
      <x:c r="J1003" s="26"/>
      <x:c r="K1003" s="26"/>
      <x:c r="L1003" s="26"/>
    </x:row>
    <x:row r="1004">
      <x:c r="A1004" s="26"/>
      <x:c r="B1004" s="26"/>
      <x:c r="C1004" s="26"/>
      <x:c r="D1004" s="26"/>
      <x:c r="E1004" s="26"/>
      <x:c r="F1004" s="26"/>
      <x:c r="G1004" s="26"/>
      <x:c r="H1004" s="26"/>
      <x:c r="I1004" s="26"/>
      <x:c r="J1004" s="26"/>
      <x:c r="K1004" s="26"/>
      <x:c r="L1004" s="26"/>
    </x:row>
    <x:row r="1005">
      <x:c r="A1005" s="26"/>
      <x:c r="B1005" s="26"/>
      <x:c r="C1005" s="26"/>
      <x:c r="D1005" s="26"/>
      <x:c r="E1005" s="26"/>
      <x:c r="F1005" s="26"/>
      <x:c r="G1005" s="26"/>
      <x:c r="H1005" s="26"/>
      <x:c r="I1005" s="26"/>
      <x:c r="J1005" s="26"/>
      <x:c r="K1005" s="26"/>
      <x:c r="L1005" s="26"/>
    </x:row>
    <x:row r="1006">
      <x:c r="A1006" s="26"/>
      <x:c r="B1006" s="26"/>
      <x:c r="C1006" s="26"/>
      <x:c r="D1006" s="26"/>
      <x:c r="E1006" s="26"/>
      <x:c r="F1006" s="26"/>
      <x:c r="G1006" s="26"/>
      <x:c r="H1006" s="26"/>
      <x:c r="I1006" s="26"/>
      <x:c r="J1006" s="26"/>
      <x:c r="K1006" s="26"/>
      <x:c r="L1006" s="26"/>
    </x:row>
    <x:row r="1007">
      <x:c r="A1007" s="26"/>
      <x:c r="B1007" s="26"/>
      <x:c r="C1007" s="26"/>
      <x:c r="D1007" s="26"/>
      <x:c r="E1007" s="26"/>
      <x:c r="F1007" s="26"/>
      <x:c r="G1007" s="26"/>
      <x:c r="H1007" s="26"/>
      <x:c r="I1007" s="26"/>
      <x:c r="J1007" s="26"/>
      <x:c r="K1007" s="26"/>
      <x:c r="L1007" s="26"/>
    </x:row>
    <x:row r="1008">
      <x:c r="A1008" s="26"/>
      <x:c r="B1008" s="26"/>
      <x:c r="C1008" s="26"/>
      <x:c r="D1008" s="26"/>
      <x:c r="E1008" s="26"/>
      <x:c r="F1008" s="26"/>
      <x:c r="G1008" s="26"/>
      <x:c r="H1008" s="26"/>
      <x:c r="I1008" s="26"/>
      <x:c r="J1008" s="26"/>
      <x:c r="K1008" s="26"/>
      <x:c r="L1008" s="26"/>
    </x:row>
    <x:row r="1009">
      <x:c r="A1009" s="26"/>
      <x:c r="B1009" s="26"/>
      <x:c r="C1009" s="26"/>
      <x:c r="D1009" s="26"/>
      <x:c r="E1009" s="26"/>
      <x:c r="F1009" s="26"/>
      <x:c r="G1009" s="26"/>
      <x:c r="H1009" s="26"/>
      <x:c r="I1009" s="26"/>
      <x:c r="J1009" s="26"/>
      <x:c r="K1009" s="26"/>
      <x:c r="L1009" s="26"/>
    </x:row>
    <x:row r="1010">
      <x:c r="A1010" s="26"/>
      <x:c r="B1010" s="26"/>
      <x:c r="C1010" s="26"/>
      <x:c r="D1010" s="26"/>
      <x:c r="E1010" s="26"/>
      <x:c r="F1010" s="26"/>
      <x:c r="G1010" s="26"/>
      <x:c r="H1010" s="26"/>
      <x:c r="I1010" s="26"/>
      <x:c r="J1010" s="26"/>
      <x:c r="K1010" s="26"/>
      <x:c r="L1010" s="26"/>
    </x:row>
    <x:row r="1011">
      <x:c r="A1011" s="26"/>
      <x:c r="B1011" s="26"/>
      <x:c r="C1011" s="26"/>
      <x:c r="D1011" s="26"/>
      <x:c r="E1011" s="26"/>
      <x:c r="F1011" s="26"/>
      <x:c r="G1011" s="26"/>
      <x:c r="H1011" s="26"/>
      <x:c r="I1011" s="26"/>
      <x:c r="J1011" s="26"/>
      <x:c r="K1011" s="26"/>
      <x:c r="L1011" s="26"/>
    </x:row>
    <x:row r="1012">
      <x:c r="A1012" s="26"/>
      <x:c r="B1012" s="26"/>
      <x:c r="C1012" s="26"/>
      <x:c r="D1012" s="26"/>
      <x:c r="E1012" s="26"/>
      <x:c r="F1012" s="26"/>
      <x:c r="G1012" s="26"/>
      <x:c r="H1012" s="26"/>
      <x:c r="I1012" s="26"/>
      <x:c r="J1012" s="26"/>
      <x:c r="K1012" s="26"/>
      <x:c r="L1012" s="26"/>
    </x:row>
    <x:row r="1013">
      <x:c r="A1013" s="26"/>
      <x:c r="B1013" s="26"/>
      <x:c r="C1013" s="26"/>
      <x:c r="D1013" s="26"/>
      <x:c r="E1013" s="26"/>
      <x:c r="F1013" s="26"/>
      <x:c r="G1013" s="26"/>
      <x:c r="H1013" s="26"/>
      <x:c r="I1013" s="26"/>
      <x:c r="J1013" s="26"/>
      <x:c r="K1013" s="26"/>
      <x:c r="L1013" s="26"/>
    </x:row>
    <x:row r="1014">
      <x:c r="A1014" s="26"/>
      <x:c r="B1014" s="26"/>
      <x:c r="C1014" s="26"/>
      <x:c r="D1014" s="26"/>
      <x:c r="E1014" s="26"/>
      <x:c r="F1014" s="26"/>
      <x:c r="G1014" s="26"/>
      <x:c r="H1014" s="26"/>
      <x:c r="I1014" s="26"/>
      <x:c r="J1014" s="26"/>
      <x:c r="K1014" s="26"/>
      <x:c r="L1014" s="26"/>
    </x:row>
    <x:row r="1015">
      <x:c r="A1015" s="26"/>
      <x:c r="B1015" s="26"/>
      <x:c r="C1015" s="26"/>
      <x:c r="D1015" s="26"/>
      <x:c r="E1015" s="26"/>
      <x:c r="F1015" s="26"/>
      <x:c r="G1015" s="26"/>
      <x:c r="H1015" s="26"/>
      <x:c r="I1015" s="26"/>
      <x:c r="J1015" s="26"/>
      <x:c r="K1015" s="26"/>
      <x:c r="L1015" s="26"/>
    </x:row>
    <x:row r="1016">
      <x:c r="A1016" s="26"/>
      <x:c r="B1016" s="26"/>
      <x:c r="C1016" s="26"/>
      <x:c r="D1016" s="26"/>
      <x:c r="E1016" s="26"/>
      <x:c r="F1016" s="26"/>
      <x:c r="G1016" s="26"/>
      <x:c r="H1016" s="26"/>
      <x:c r="I1016" s="26"/>
      <x:c r="J1016" s="26"/>
      <x:c r="K1016" s="26"/>
      <x:c r="L1016" s="26"/>
    </x:row>
    <x:row r="1017">
      <x:c r="A1017" s="26"/>
      <x:c r="B1017" s="26"/>
      <x:c r="C1017" s="26"/>
      <x:c r="D1017" s="26"/>
      <x:c r="E1017" s="26"/>
      <x:c r="F1017" s="26"/>
      <x:c r="G1017" s="26"/>
      <x:c r="H1017" s="26"/>
      <x:c r="I1017" s="26"/>
      <x:c r="J1017" s="26"/>
      <x:c r="K1017" s="26"/>
      <x:c r="L1017" s="26"/>
    </x:row>
    <x:row r="1018">
      <x:c r="A1018" s="26"/>
      <x:c r="B1018" s="26"/>
      <x:c r="C1018" s="26"/>
      <x:c r="D1018" s="26"/>
      <x:c r="E1018" s="26"/>
      <x:c r="F1018" s="26"/>
      <x:c r="G1018" s="26"/>
      <x:c r="H1018" s="26"/>
      <x:c r="I1018" s="26"/>
      <x:c r="J1018" s="26"/>
      <x:c r="K1018" s="26"/>
      <x:c r="L1018" s="26"/>
    </x:row>
    <x:row r="1019">
      <x:c r="A1019" s="26"/>
      <x:c r="B1019" s="26"/>
      <x:c r="C1019" s="26"/>
      <x:c r="D1019" s="26"/>
      <x:c r="E1019" s="26"/>
      <x:c r="F1019" s="26"/>
      <x:c r="G1019" s="26"/>
      <x:c r="H1019" s="26"/>
      <x:c r="I1019" s="26"/>
      <x:c r="J1019" s="26"/>
      <x:c r="K1019" s="26"/>
      <x:c r="L1019" s="26"/>
    </x:row>
    <x:row r="1020">
      <x:c r="A1020" s="26"/>
      <x:c r="B1020" s="26"/>
      <x:c r="C1020" s="26"/>
      <x:c r="D1020" s="26"/>
      <x:c r="E1020" s="26"/>
      <x:c r="F1020" s="26"/>
      <x:c r="G1020" s="26"/>
      <x:c r="H1020" s="26"/>
      <x:c r="I1020" s="26"/>
      <x:c r="J1020" s="26"/>
      <x:c r="K1020" s="26"/>
      <x:c r="L1020" s="26"/>
    </x:row>
    <x:row r="1021">
      <x:c r="A1021" s="26"/>
      <x:c r="B1021" s="26"/>
      <x:c r="C1021" s="26"/>
      <x:c r="D1021" s="26"/>
      <x:c r="E1021" s="26"/>
      <x:c r="F1021" s="26"/>
      <x:c r="G1021" s="26"/>
      <x:c r="H1021" s="26"/>
      <x:c r="I1021" s="26"/>
      <x:c r="J1021" s="26"/>
      <x:c r="K1021" s="26"/>
      <x:c r="L1021" s="26"/>
    </x:row>
    <x:row r="1022">
      <x:c r="A1022" s="26"/>
      <x:c r="B1022" s="26"/>
      <x:c r="C1022" s="26"/>
      <x:c r="D1022" s="26"/>
      <x:c r="E1022" s="26"/>
      <x:c r="F1022" s="26"/>
      <x:c r="G1022" s="26"/>
      <x:c r="H1022" s="26"/>
      <x:c r="I1022" s="26"/>
      <x:c r="J1022" s="26"/>
      <x:c r="K1022" s="26"/>
      <x:c r="L1022" s="26"/>
    </x:row>
    <x:row r="1023">
      <x:c r="A1023" s="26"/>
      <x:c r="B1023" s="26"/>
      <x:c r="C1023" s="26"/>
      <x:c r="D1023" s="26"/>
      <x:c r="E1023" s="26"/>
      <x:c r="F1023" s="26"/>
      <x:c r="G1023" s="26"/>
      <x:c r="H1023" s="26"/>
      <x:c r="I1023" s="26"/>
      <x:c r="J1023" s="26"/>
      <x:c r="K1023" s="26"/>
      <x:c r="L1023" s="26"/>
    </x:row>
    <x:row r="1024">
      <x:c r="A1024" s="26"/>
      <x:c r="B1024" s="26"/>
      <x:c r="C1024" s="26"/>
      <x:c r="D1024" s="26"/>
      <x:c r="E1024" s="26"/>
      <x:c r="F1024" s="26"/>
      <x:c r="G1024" s="26"/>
      <x:c r="H1024" s="26"/>
      <x:c r="I1024" s="26"/>
      <x:c r="J1024" s="26"/>
      <x:c r="K1024" s="26"/>
      <x:c r="L1024" s="26"/>
    </x:row>
    <x:row r="1025">
      <x:c r="A1025" s="26"/>
      <x:c r="B1025" s="26"/>
      <x:c r="C1025" s="26"/>
      <x:c r="D1025" s="26"/>
      <x:c r="E1025" s="26"/>
      <x:c r="F1025" s="26"/>
      <x:c r="G1025" s="26"/>
      <x:c r="H1025" s="26"/>
      <x:c r="I1025" s="26"/>
      <x:c r="J1025" s="26"/>
      <x:c r="K1025" s="26"/>
      <x:c r="L1025" s="26"/>
    </x:row>
    <x:row r="1026">
      <x:c r="A1026" s="26"/>
      <x:c r="B1026" s="26"/>
      <x:c r="C1026" s="26"/>
      <x:c r="D1026" s="26"/>
      <x:c r="E1026" s="26"/>
      <x:c r="F1026" s="26"/>
      <x:c r="G1026" s="26"/>
      <x:c r="H1026" s="26"/>
      <x:c r="I1026" s="26"/>
      <x:c r="J1026" s="26"/>
      <x:c r="K1026" s="26"/>
      <x:c r="L1026" s="26"/>
    </x:row>
    <x:row r="1027">
      <x:c r="A1027" s="26"/>
      <x:c r="B1027" s="26"/>
      <x:c r="C1027" s="26"/>
      <x:c r="D1027" s="26"/>
      <x:c r="E1027" s="26"/>
      <x:c r="F1027" s="26"/>
      <x:c r="G1027" s="26"/>
      <x:c r="H1027" s="26"/>
      <x:c r="I1027" s="26"/>
      <x:c r="J1027" s="26"/>
      <x:c r="K1027" s="26"/>
      <x:c r="L1027" s="26"/>
    </x:row>
    <x:row r="1028">
      <x:c r="A1028" s="26"/>
      <x:c r="B1028" s="26"/>
      <x:c r="C1028" s="26"/>
      <x:c r="D1028" s="26"/>
      <x:c r="E1028" s="26"/>
      <x:c r="F1028" s="26"/>
      <x:c r="G1028" s="26"/>
      <x:c r="H1028" s="26"/>
      <x:c r="I1028" s="26"/>
      <x:c r="J1028" s="26"/>
      <x:c r="K1028" s="26"/>
      <x:c r="L1028" s="26"/>
    </x:row>
    <x:row r="1029">
      <x:c r="A1029" s="26"/>
      <x:c r="B1029" s="26"/>
      <x:c r="C1029" s="26"/>
      <x:c r="D1029" s="26"/>
      <x:c r="E1029" s="26"/>
      <x:c r="F1029" s="26"/>
      <x:c r="G1029" s="26"/>
      <x:c r="H1029" s="26"/>
      <x:c r="I1029" s="26"/>
      <x:c r="J1029" s="26"/>
      <x:c r="K1029" s="26"/>
      <x:c r="L1029" s="26"/>
    </x:row>
    <x:row r="1030">
      <x:c r="A1030" s="26"/>
      <x:c r="B1030" s="26"/>
      <x:c r="C1030" s="26"/>
      <x:c r="D1030" s="26"/>
      <x:c r="E1030" s="26"/>
      <x:c r="F1030" s="26"/>
      <x:c r="G1030" s="26"/>
      <x:c r="H1030" s="26"/>
      <x:c r="I1030" s="26"/>
      <x:c r="J1030" s="26"/>
      <x:c r="K1030" s="26"/>
      <x:c r="L1030" s="26"/>
    </x:row>
    <x:row r="1031">
      <x:c r="A1031" s="26"/>
      <x:c r="B1031" s="26"/>
      <x:c r="C1031" s="26"/>
      <x:c r="D1031" s="26"/>
      <x:c r="E1031" s="26"/>
      <x:c r="F1031" s="26"/>
      <x:c r="G1031" s="26"/>
      <x:c r="H1031" s="26"/>
      <x:c r="I1031" s="26"/>
      <x:c r="J1031" s="26"/>
      <x:c r="K1031" s="26"/>
      <x:c r="L1031" s="26"/>
    </x:row>
    <x:row r="1032">
      <x:c r="A1032" s="26"/>
      <x:c r="B1032" s="26"/>
      <x:c r="C1032" s="26"/>
      <x:c r="D1032" s="26"/>
      <x:c r="E1032" s="26"/>
      <x:c r="F1032" s="26"/>
      <x:c r="G1032" s="26"/>
      <x:c r="H1032" s="26"/>
      <x:c r="I1032" s="26"/>
      <x:c r="J1032" s="26"/>
      <x:c r="K1032" s="26"/>
      <x:c r="L1032" s="26"/>
    </x:row>
    <x:row r="1033">
      <x:c r="A1033" s="26"/>
      <x:c r="B1033" s="26"/>
      <x:c r="C1033" s="26"/>
      <x:c r="D1033" s="26"/>
      <x:c r="E1033" s="26"/>
      <x:c r="F1033" s="26"/>
      <x:c r="G1033" s="26"/>
      <x:c r="H1033" s="26"/>
      <x:c r="I1033" s="26"/>
      <x:c r="J1033" s="26"/>
      <x:c r="K1033" s="26"/>
      <x:c r="L1033" s="26"/>
    </x:row>
    <x:row r="1034">
      <x:c r="A1034" s="26"/>
      <x:c r="B1034" s="26"/>
      <x:c r="C1034" s="26"/>
      <x:c r="D1034" s="26"/>
      <x:c r="E1034" s="26"/>
      <x:c r="F1034" s="26"/>
      <x:c r="G1034" s="26"/>
      <x:c r="H1034" s="26"/>
      <x:c r="I1034" s="26"/>
      <x:c r="J1034" s="26"/>
      <x:c r="K1034" s="26"/>
      <x:c r="L1034" s="26"/>
    </x:row>
    <x:row r="1035">
      <x:c r="A1035" s="26"/>
      <x:c r="B1035" s="26"/>
      <x:c r="C1035" s="26"/>
      <x:c r="D1035" s="26"/>
      <x:c r="E1035" s="26"/>
      <x:c r="F1035" s="26"/>
      <x:c r="G1035" s="26"/>
      <x:c r="H1035" s="26"/>
      <x:c r="I1035" s="26"/>
      <x:c r="J1035" s="26"/>
      <x:c r="K1035" s="26"/>
      <x:c r="L1035" s="26"/>
    </x:row>
    <x:row r="1036">
      <x:c r="A1036" s="26"/>
      <x:c r="B1036" s="26"/>
      <x:c r="C1036" s="26"/>
      <x:c r="D1036" s="26"/>
      <x:c r="E1036" s="26"/>
      <x:c r="F1036" s="26"/>
      <x:c r="G1036" s="26"/>
      <x:c r="H1036" s="26"/>
      <x:c r="I1036" s="26"/>
      <x:c r="J1036" s="26"/>
      <x:c r="K1036" s="26"/>
      <x:c r="L1036" s="26"/>
    </x:row>
    <x:row r="1037">
      <x:c r="A1037" s="26"/>
      <x:c r="B1037" s="26"/>
      <x:c r="C1037" s="26"/>
      <x:c r="D1037" s="26"/>
      <x:c r="E1037" s="26"/>
      <x:c r="F1037" s="26"/>
      <x:c r="G1037" s="26"/>
      <x:c r="H1037" s="26"/>
      <x:c r="I1037" s="26"/>
      <x:c r="J1037" s="26"/>
      <x:c r="K1037" s="26"/>
      <x:c r="L1037" s="26"/>
    </x:row>
    <x:row r="1038">
      <x:c r="A1038" s="26"/>
      <x:c r="B1038" s="26"/>
      <x:c r="C1038" s="26"/>
      <x:c r="D1038" s="26"/>
      <x:c r="E1038" s="26"/>
      <x:c r="F1038" s="26"/>
      <x:c r="G1038" s="26"/>
      <x:c r="H1038" s="26"/>
      <x:c r="I1038" s="26"/>
      <x:c r="J1038" s="26"/>
      <x:c r="K1038" s="26"/>
      <x:c r="L1038" s="26"/>
    </x:row>
    <x:row r="1039">
      <x:c r="A1039" s="26"/>
      <x:c r="B1039" s="26"/>
      <x:c r="C1039" s="26"/>
      <x:c r="D1039" s="26"/>
      <x:c r="E1039" s="26"/>
      <x:c r="F1039" s="26"/>
      <x:c r="G1039" s="26"/>
      <x:c r="H1039" s="26"/>
      <x:c r="I1039" s="26"/>
      <x:c r="J1039" s="26"/>
      <x:c r="K1039" s="26"/>
      <x:c r="L1039" s="26"/>
    </x:row>
    <x:row r="1040">
      <x:c r="A1040" s="26"/>
      <x:c r="B1040" s="26"/>
      <x:c r="C1040" s="26"/>
      <x:c r="D1040" s="26"/>
      <x:c r="E1040" s="26"/>
      <x:c r="F1040" s="26"/>
      <x:c r="G1040" s="26"/>
      <x:c r="H1040" s="26"/>
      <x:c r="I1040" s="26"/>
      <x:c r="J1040" s="26"/>
      <x:c r="K1040" s="26"/>
      <x:c r="L1040" s="26"/>
    </x:row>
    <x:row r="1041">
      <x:c r="A1041" s="26"/>
      <x:c r="B1041" s="26"/>
      <x:c r="C1041" s="26"/>
      <x:c r="D1041" s="26"/>
      <x:c r="E1041" s="26"/>
      <x:c r="F1041" s="26"/>
      <x:c r="G1041" s="26"/>
      <x:c r="H1041" s="26"/>
      <x:c r="I1041" s="26"/>
      <x:c r="J1041" s="26"/>
      <x:c r="K1041" s="26"/>
      <x:c r="L1041" s="26"/>
    </x:row>
    <x:row r="1042">
      <x:c r="A1042" s="26"/>
      <x:c r="B1042" s="26"/>
      <x:c r="C1042" s="26"/>
      <x:c r="D1042" s="26"/>
      <x:c r="E1042" s="26"/>
      <x:c r="F1042" s="26"/>
      <x:c r="G1042" s="26"/>
      <x:c r="H1042" s="26"/>
      <x:c r="I1042" s="26"/>
      <x:c r="J1042" s="26"/>
      <x:c r="K1042" s="26"/>
      <x:c r="L1042" s="26"/>
    </x:row>
    <x:row r="1043">
      <x:c r="A1043" s="26"/>
      <x:c r="B1043" s="26"/>
      <x:c r="C1043" s="26"/>
      <x:c r="D1043" s="26"/>
      <x:c r="E1043" s="26"/>
      <x:c r="F1043" s="26"/>
      <x:c r="G1043" s="26"/>
      <x:c r="H1043" s="26"/>
      <x:c r="I1043" s="26"/>
      <x:c r="J1043" s="26"/>
      <x:c r="K1043" s="26"/>
      <x:c r="L1043" s="26"/>
    </x:row>
    <x:row r="1044">
      <x:c r="A1044" s="26"/>
      <x:c r="B1044" s="26"/>
      <x:c r="C1044" s="26"/>
      <x:c r="D1044" s="26"/>
      <x:c r="E1044" s="26"/>
      <x:c r="F1044" s="26"/>
      <x:c r="G1044" s="26"/>
      <x:c r="H1044" s="26"/>
      <x:c r="I1044" s="26"/>
      <x:c r="J1044" s="26"/>
      <x:c r="K1044" s="26"/>
      <x:c r="L1044" s="26"/>
    </x:row>
    <x:row r="1045">
      <x:c r="A1045" s="26"/>
      <x:c r="B1045" s="26"/>
      <x:c r="C1045" s="26"/>
      <x:c r="D1045" s="26"/>
      <x:c r="E1045" s="26"/>
      <x:c r="F1045" s="26"/>
      <x:c r="G1045" s="26"/>
      <x:c r="H1045" s="26"/>
      <x:c r="I1045" s="26"/>
      <x:c r="J1045" s="26"/>
      <x:c r="K1045" s="26"/>
      <x:c r="L1045" s="26"/>
    </x:row>
    <x:row r="1046">
      <x:c r="A1046" s="26"/>
      <x:c r="B1046" s="26"/>
      <x:c r="C1046" s="26"/>
      <x:c r="D1046" s="26"/>
      <x:c r="E1046" s="26"/>
      <x:c r="F1046" s="26"/>
      <x:c r="G1046" s="26"/>
      <x:c r="H1046" s="26"/>
      <x:c r="I1046" s="26"/>
      <x:c r="J1046" s="26"/>
      <x:c r="K1046" s="26"/>
      <x:c r="L1046" s="26"/>
    </x:row>
    <x:row r="1047">
      <x:c r="A1047" s="26"/>
      <x:c r="B1047" s="26"/>
      <x:c r="C1047" s="26"/>
      <x:c r="D1047" s="26"/>
      <x:c r="E1047" s="26"/>
      <x:c r="F1047" s="26"/>
      <x:c r="G1047" s="26"/>
      <x:c r="H1047" s="26"/>
      <x:c r="I1047" s="26"/>
      <x:c r="J1047" s="26"/>
      <x:c r="K1047" s="26"/>
      <x:c r="L1047" s="26"/>
    </x:row>
    <x:row r="1048">
      <x:c r="A1048" s="26"/>
      <x:c r="B1048" s="26"/>
      <x:c r="C1048" s="26"/>
      <x:c r="D1048" s="26"/>
      <x:c r="E1048" s="26"/>
      <x:c r="F1048" s="26"/>
      <x:c r="G1048" s="26"/>
      <x:c r="H1048" s="26"/>
      <x:c r="I1048" s="26"/>
      <x:c r="J1048" s="26"/>
      <x:c r="K1048" s="26"/>
      <x:c r="L1048" s="26"/>
    </x:row>
    <x:row r="1049">
      <x:c r="A1049" s="26"/>
      <x:c r="B1049" s="26"/>
      <x:c r="C1049" s="26"/>
      <x:c r="D1049" s="26"/>
      <x:c r="E1049" s="26"/>
      <x:c r="F1049" s="26"/>
      <x:c r="G1049" s="26"/>
      <x:c r="H1049" s="26"/>
      <x:c r="I1049" s="26"/>
      <x:c r="J1049" s="26"/>
      <x:c r="K1049" s="26"/>
      <x:c r="L1049" s="26"/>
    </x:row>
    <x:row r="1050">
      <x:c r="A1050" s="26"/>
      <x:c r="B1050" s="26"/>
      <x:c r="C1050" s="26"/>
      <x:c r="D1050" s="26"/>
      <x:c r="E1050" s="26"/>
      <x:c r="F1050" s="26"/>
      <x:c r="G1050" s="26"/>
      <x:c r="H1050" s="26"/>
      <x:c r="I1050" s="26"/>
      <x:c r="J1050" s="26"/>
      <x:c r="K1050" s="26"/>
      <x:c r="L1050" s="26"/>
    </x:row>
    <x:row r="1051">
      <x:c r="A1051" s="26"/>
      <x:c r="B1051" s="26"/>
      <x:c r="C1051" s="26"/>
      <x:c r="D1051" s="26"/>
      <x:c r="E1051" s="26"/>
      <x:c r="F1051" s="26"/>
      <x:c r="G1051" s="26"/>
      <x:c r="H1051" s="26"/>
      <x:c r="I1051" s="26"/>
      <x:c r="J1051" s="26"/>
      <x:c r="K1051" s="26"/>
      <x:c r="L1051" s="26"/>
    </x:row>
    <x:row r="1052">
      <x:c r="A1052" s="26"/>
      <x:c r="B1052" s="26"/>
      <x:c r="C1052" s="26"/>
      <x:c r="D1052" s="26"/>
      <x:c r="E1052" s="26"/>
      <x:c r="F1052" s="26"/>
      <x:c r="G1052" s="26"/>
      <x:c r="H1052" s="26"/>
      <x:c r="I1052" s="26"/>
      <x:c r="J1052" s="26"/>
      <x:c r="K1052" s="26"/>
      <x:c r="L1052" s="26"/>
    </x:row>
    <x:row r="1053">
      <x:c r="A1053" s="26"/>
      <x:c r="B1053" s="26"/>
      <x:c r="C1053" s="26"/>
      <x:c r="D1053" s="26"/>
      <x:c r="E1053" s="26"/>
      <x:c r="F1053" s="26"/>
      <x:c r="G1053" s="26"/>
      <x:c r="H1053" s="26"/>
      <x:c r="I1053" s="26"/>
      <x:c r="J1053" s="26"/>
      <x:c r="K1053" s="26"/>
      <x:c r="L1053" s="26"/>
    </x:row>
    <x:row r="1054">
      <x:c r="A1054" s="26"/>
      <x:c r="B1054" s="26"/>
      <x:c r="C1054" s="26"/>
      <x:c r="D1054" s="26"/>
      <x:c r="E1054" s="26"/>
      <x:c r="F1054" s="26"/>
      <x:c r="G1054" s="26"/>
      <x:c r="H1054" s="26"/>
      <x:c r="I1054" s="26"/>
      <x:c r="J1054" s="26"/>
      <x:c r="K1054" s="26"/>
      <x:c r="L1054" s="26"/>
    </x:row>
    <x:row r="1055">
      <x:c r="A1055" s="26"/>
      <x:c r="B1055" s="26"/>
      <x:c r="C1055" s="26"/>
      <x:c r="D1055" s="26"/>
      <x:c r="E1055" s="26"/>
      <x:c r="F1055" s="26"/>
      <x:c r="G1055" s="26"/>
      <x:c r="H1055" s="26"/>
      <x:c r="I1055" s="26"/>
      <x:c r="J1055" s="26"/>
      <x:c r="K1055" s="26"/>
      <x:c r="L1055" s="26"/>
    </x:row>
    <x:row r="1056">
      <x:c r="A1056" s="26"/>
      <x:c r="B1056" s="26"/>
      <x:c r="C1056" s="26"/>
      <x:c r="D1056" s="26"/>
      <x:c r="E1056" s="26"/>
      <x:c r="F1056" s="26"/>
      <x:c r="G1056" s="26"/>
      <x:c r="H1056" s="26"/>
      <x:c r="I1056" s="26"/>
      <x:c r="J1056" s="26"/>
      <x:c r="K1056" s="26"/>
      <x:c r="L1056" s="26"/>
    </x:row>
    <x:row r="1057">
      <x:c r="A1057" s="26"/>
      <x:c r="B1057" s="26"/>
      <x:c r="C1057" s="26"/>
      <x:c r="D1057" s="26"/>
      <x:c r="E1057" s="26"/>
      <x:c r="F1057" s="26"/>
      <x:c r="G1057" s="26"/>
      <x:c r="H1057" s="26"/>
      <x:c r="I1057" s="26"/>
      <x:c r="J1057" s="26"/>
      <x:c r="K1057" s="26"/>
      <x:c r="L1057" s="26"/>
    </x:row>
    <x:row r="1058">
      <x:c r="A1058" s="26"/>
      <x:c r="B1058" s="26"/>
      <x:c r="C1058" s="26"/>
      <x:c r="D1058" s="26"/>
      <x:c r="E1058" s="26"/>
      <x:c r="F1058" s="26"/>
      <x:c r="G1058" s="26"/>
      <x:c r="H1058" s="26"/>
      <x:c r="I1058" s="26"/>
      <x:c r="J1058" s="26"/>
      <x:c r="K1058" s="26"/>
      <x:c r="L1058" s="26"/>
    </x:row>
    <x:row r="1059">
      <x:c r="A1059" s="26"/>
      <x:c r="B1059" s="26"/>
      <x:c r="C1059" s="26"/>
      <x:c r="D1059" s="26"/>
      <x:c r="E1059" s="26"/>
      <x:c r="F1059" s="26"/>
      <x:c r="G1059" s="26"/>
      <x:c r="H1059" s="26"/>
      <x:c r="I1059" s="26"/>
      <x:c r="J1059" s="26"/>
      <x:c r="K1059" s="26"/>
      <x:c r="L1059" s="26"/>
    </x:row>
    <x:row r="1060">
      <x:c r="A1060" s="26"/>
      <x:c r="B1060" s="26"/>
      <x:c r="C1060" s="26"/>
      <x:c r="D1060" s="26"/>
      <x:c r="E1060" s="26"/>
      <x:c r="F1060" s="26"/>
      <x:c r="G1060" s="26"/>
      <x:c r="H1060" s="26"/>
      <x:c r="I1060" s="26"/>
      <x:c r="J1060" s="26"/>
      <x:c r="K1060" s="26"/>
      <x:c r="L1060" s="26"/>
    </x:row>
    <x:row r="1061">
      <x:c r="A1061" s="26"/>
      <x:c r="B1061" s="26"/>
      <x:c r="C1061" s="26"/>
      <x:c r="D1061" s="26"/>
      <x:c r="E1061" s="26"/>
      <x:c r="F1061" s="26"/>
      <x:c r="G1061" s="26"/>
      <x:c r="H1061" s="26"/>
      <x:c r="I1061" s="26"/>
      <x:c r="J1061" s="26"/>
      <x:c r="K1061" s="26"/>
      <x:c r="L1061" s="26"/>
    </x:row>
    <x:row r="1062">
      <x:c r="A1062" s="26"/>
      <x:c r="B1062" s="26"/>
      <x:c r="C1062" s="26"/>
      <x:c r="D1062" s="26"/>
      <x:c r="E1062" s="26"/>
      <x:c r="F1062" s="26"/>
      <x:c r="G1062" s="26"/>
      <x:c r="H1062" s="26"/>
      <x:c r="I1062" s="26"/>
      <x:c r="J1062" s="26"/>
      <x:c r="K1062" s="26"/>
      <x:c r="L1062" s="26"/>
    </x:row>
    <x:row r="1063">
      <x:c r="A1063" s="26"/>
      <x:c r="B1063" s="26"/>
      <x:c r="C1063" s="26"/>
      <x:c r="D1063" s="26"/>
      <x:c r="E1063" s="26"/>
      <x:c r="F1063" s="26"/>
      <x:c r="G1063" s="26"/>
      <x:c r="H1063" s="26"/>
      <x:c r="I1063" s="26"/>
      <x:c r="J1063" s="26"/>
      <x:c r="K1063" s="26"/>
      <x:c r="L1063" s="26"/>
    </x:row>
    <x:row r="1064">
      <x:c r="A1064" s="26"/>
      <x:c r="B1064" s="26"/>
      <x:c r="C1064" s="26"/>
      <x:c r="D1064" s="26"/>
      <x:c r="E1064" s="26"/>
      <x:c r="F1064" s="26"/>
      <x:c r="G1064" s="26"/>
      <x:c r="H1064" s="26"/>
      <x:c r="I1064" s="26"/>
      <x:c r="J1064" s="26"/>
      <x:c r="K1064" s="26"/>
      <x:c r="L1064" s="26"/>
    </x:row>
    <x:row r="1065">
      <x:c r="A1065" s="26"/>
      <x:c r="B1065" s="26"/>
      <x:c r="C1065" s="26"/>
      <x:c r="D1065" s="26"/>
      <x:c r="E1065" s="26"/>
      <x:c r="F1065" s="26"/>
      <x:c r="G1065" s="26"/>
      <x:c r="H1065" s="26"/>
      <x:c r="I1065" s="26"/>
      <x:c r="J1065" s="26"/>
      <x:c r="K1065" s="26"/>
      <x:c r="L1065" s="26"/>
    </x:row>
    <x:row r="1066">
      <x:c r="A1066" s="26"/>
      <x:c r="B1066" s="26"/>
      <x:c r="C1066" s="26"/>
      <x:c r="D1066" s="26"/>
      <x:c r="E1066" s="26"/>
      <x:c r="F1066" s="26"/>
      <x:c r="G1066" s="26"/>
      <x:c r="H1066" s="26"/>
      <x:c r="I1066" s="26"/>
      <x:c r="J1066" s="26"/>
      <x:c r="K1066" s="26"/>
      <x:c r="L1066" s="26"/>
    </x:row>
    <x:row r="1067">
      <x:c r="A1067" s="26"/>
      <x:c r="B1067" s="26"/>
      <x:c r="C1067" s="26"/>
      <x:c r="D1067" s="26"/>
      <x:c r="E1067" s="26"/>
      <x:c r="F1067" s="26"/>
      <x:c r="G1067" s="26"/>
      <x:c r="H1067" s="26"/>
      <x:c r="I1067" s="26"/>
      <x:c r="J1067" s="26"/>
      <x:c r="K1067" s="26"/>
      <x:c r="L1067" s="26"/>
    </x:row>
    <x:row r="1068">
      <x:c r="A1068" s="26"/>
      <x:c r="B1068" s="26"/>
      <x:c r="C1068" s="26"/>
      <x:c r="D1068" s="26"/>
      <x:c r="E1068" s="26"/>
      <x:c r="F1068" s="26"/>
      <x:c r="G1068" s="26"/>
      <x:c r="H1068" s="26"/>
      <x:c r="I1068" s="26"/>
      <x:c r="J1068" s="26"/>
      <x:c r="K1068" s="26"/>
      <x:c r="L1068" s="26"/>
    </x:row>
    <x:row r="1069">
      <x:c r="A1069" s="26"/>
      <x:c r="B1069" s="26"/>
      <x:c r="C1069" s="26"/>
      <x:c r="D1069" s="26"/>
      <x:c r="E1069" s="26"/>
      <x:c r="F1069" s="26"/>
      <x:c r="G1069" s="26"/>
      <x:c r="H1069" s="26"/>
      <x:c r="I1069" s="26"/>
      <x:c r="J1069" s="26"/>
      <x:c r="K1069" s="26"/>
      <x:c r="L1069" s="26"/>
    </x:row>
    <x:row r="1070">
      <x:c r="A1070" s="26"/>
      <x:c r="B1070" s="26"/>
      <x:c r="C1070" s="26"/>
      <x:c r="D1070" s="26"/>
      <x:c r="E1070" s="26"/>
      <x:c r="F1070" s="26"/>
      <x:c r="G1070" s="26"/>
      <x:c r="H1070" s="26"/>
      <x:c r="I1070" s="26"/>
      <x:c r="J1070" s="26"/>
      <x:c r="K1070" s="26"/>
      <x:c r="L1070" s="26"/>
    </x:row>
    <x:row r="1071">
      <x:c r="A1071" s="26"/>
      <x:c r="B1071" s="26"/>
      <x:c r="C1071" s="26"/>
      <x:c r="D1071" s="26"/>
      <x:c r="E1071" s="26"/>
      <x:c r="F1071" s="26"/>
      <x:c r="G1071" s="26"/>
      <x:c r="H1071" s="26"/>
      <x:c r="I1071" s="26"/>
      <x:c r="J1071" s="26"/>
      <x:c r="K1071" s="26"/>
      <x:c r="L1071" s="26"/>
    </x:row>
    <x:row r="1072">
      <x:c r="A1072" s="26"/>
      <x:c r="B1072" s="26"/>
      <x:c r="C1072" s="26"/>
      <x:c r="D1072" s="26"/>
      <x:c r="E1072" s="26"/>
      <x:c r="F1072" s="26"/>
      <x:c r="G1072" s="26"/>
      <x:c r="H1072" s="26"/>
      <x:c r="I1072" s="26"/>
      <x:c r="J1072" s="26"/>
      <x:c r="K1072" s="26"/>
      <x:c r="L1072" s="26"/>
    </x:row>
    <x:row r="1073">
      <x:c r="A1073" s="26"/>
      <x:c r="B1073" s="26"/>
      <x:c r="C1073" s="26"/>
      <x:c r="D1073" s="26"/>
      <x:c r="E1073" s="26"/>
      <x:c r="F1073" s="26"/>
      <x:c r="G1073" s="26"/>
      <x:c r="H1073" s="26"/>
      <x:c r="I1073" s="26"/>
      <x:c r="J1073" s="26"/>
      <x:c r="K1073" s="26"/>
      <x:c r="L1073" s="26"/>
    </x:row>
    <x:row r="1074">
      <x:c r="A1074" s="26"/>
      <x:c r="B1074" s="26"/>
      <x:c r="C1074" s="26"/>
      <x:c r="D1074" s="26"/>
      <x:c r="E1074" s="26"/>
      <x:c r="F1074" s="26"/>
      <x:c r="G1074" s="26"/>
      <x:c r="H1074" s="26"/>
      <x:c r="I1074" s="26"/>
      <x:c r="J1074" s="26"/>
      <x:c r="K1074" s="26"/>
      <x:c r="L1074" s="26"/>
    </x:row>
    <x:row r="1075">
      <x:c r="A1075" s="26"/>
      <x:c r="B1075" s="26"/>
      <x:c r="C1075" s="26"/>
      <x:c r="D1075" s="26"/>
      <x:c r="E1075" s="26"/>
      <x:c r="F1075" s="26"/>
      <x:c r="G1075" s="26"/>
      <x:c r="H1075" s="26"/>
      <x:c r="I1075" s="26"/>
      <x:c r="J1075" s="26"/>
      <x:c r="K1075" s="26"/>
      <x:c r="L1075" s="26"/>
    </x:row>
    <x:row r="1076">
      <x:c r="A1076" s="26"/>
      <x:c r="B1076" s="26"/>
      <x:c r="C1076" s="26"/>
      <x:c r="D1076" s="26"/>
      <x:c r="E1076" s="26"/>
      <x:c r="F1076" s="26"/>
      <x:c r="G1076" s="26"/>
      <x:c r="H1076" s="26"/>
      <x:c r="I1076" s="26"/>
      <x:c r="J1076" s="26"/>
      <x:c r="K1076" s="26"/>
      <x:c r="L1076" s="26"/>
    </x:row>
    <x:row r="1077">
      <x:c r="A1077" s="26"/>
      <x:c r="B1077" s="26"/>
      <x:c r="C1077" s="26"/>
      <x:c r="D1077" s="26"/>
      <x:c r="E1077" s="26"/>
      <x:c r="F1077" s="26"/>
      <x:c r="G1077" s="26"/>
      <x:c r="H1077" s="26"/>
      <x:c r="I1077" s="26"/>
      <x:c r="J1077" s="26"/>
      <x:c r="K1077" s="26"/>
      <x:c r="L1077" s="26"/>
    </x:row>
    <x:row r="1078">
      <x:c r="A1078" s="26"/>
      <x:c r="B1078" s="26"/>
      <x:c r="C1078" s="26"/>
      <x:c r="D1078" s="26"/>
      <x:c r="E1078" s="26"/>
      <x:c r="F1078" s="26"/>
      <x:c r="G1078" s="26"/>
      <x:c r="H1078" s="26"/>
      <x:c r="I1078" s="26"/>
      <x:c r="J1078" s="26"/>
      <x:c r="K1078" s="26"/>
      <x:c r="L1078" s="26"/>
    </x:row>
    <x:row r="1079">
      <x:c r="A1079" s="26"/>
      <x:c r="B1079" s="26"/>
      <x:c r="C1079" s="26"/>
      <x:c r="D1079" s="26"/>
      <x:c r="E1079" s="26"/>
      <x:c r="F1079" s="26"/>
      <x:c r="G1079" s="26"/>
      <x:c r="H1079" s="26"/>
      <x:c r="I1079" s="26"/>
      <x:c r="J1079" s="26"/>
      <x:c r="K1079" s="26"/>
      <x:c r="L1079" s="26"/>
    </x:row>
    <x:row r="1080">
      <x:c r="A1080" s="26"/>
      <x:c r="B1080" s="26"/>
      <x:c r="C1080" s="26"/>
      <x:c r="D1080" s="26"/>
      <x:c r="E1080" s="26"/>
      <x:c r="F1080" s="26"/>
      <x:c r="G1080" s="26"/>
      <x:c r="H1080" s="26"/>
      <x:c r="I1080" s="26"/>
      <x:c r="J1080" s="26"/>
      <x:c r="K1080" s="26"/>
      <x:c r="L1080" s="26"/>
    </x:row>
    <x:row r="1081">
      <x:c r="A1081" s="26"/>
      <x:c r="B1081" s="26"/>
      <x:c r="C1081" s="26"/>
      <x:c r="D1081" s="26"/>
      <x:c r="E1081" s="26"/>
      <x:c r="F1081" s="26"/>
      <x:c r="G1081" s="26"/>
      <x:c r="H1081" s="26"/>
      <x:c r="I1081" s="26"/>
      <x:c r="J1081" s="26"/>
      <x:c r="K1081" s="26"/>
      <x:c r="L1081" s="26"/>
    </x:row>
    <x:row r="1082">
      <x:c r="A1082" s="26"/>
      <x:c r="B1082" s="26"/>
      <x:c r="C1082" s="26"/>
      <x:c r="D1082" s="26"/>
      <x:c r="E1082" s="26"/>
      <x:c r="F1082" s="26"/>
      <x:c r="G1082" s="26"/>
      <x:c r="H1082" s="26"/>
      <x:c r="I1082" s="26"/>
      <x:c r="J1082" s="26"/>
      <x:c r="K1082" s="26"/>
      <x:c r="L1082" s="26"/>
    </x:row>
    <x:row r="1083">
      <x:c r="A1083" s="26"/>
      <x:c r="B1083" s="26"/>
      <x:c r="C1083" s="26"/>
      <x:c r="D1083" s="26"/>
      <x:c r="E1083" s="26"/>
      <x:c r="F1083" s="26"/>
      <x:c r="G1083" s="26"/>
      <x:c r="H1083" s="26"/>
      <x:c r="I1083" s="26"/>
      <x:c r="J1083" s="26"/>
      <x:c r="K1083" s="26"/>
      <x:c r="L1083" s="26"/>
    </x:row>
    <x:row r="1084">
      <x:c r="A1084" s="26"/>
      <x:c r="B1084" s="26"/>
      <x:c r="C1084" s="26"/>
      <x:c r="D1084" s="26"/>
      <x:c r="E1084" s="26"/>
      <x:c r="F1084" s="26"/>
      <x:c r="G1084" s="26"/>
      <x:c r="H1084" s="26"/>
      <x:c r="I1084" s="26"/>
      <x:c r="J1084" s="26"/>
      <x:c r="K1084" s="26"/>
      <x:c r="L1084" s="26"/>
    </x:row>
    <x:row r="1085">
      <x:c r="A1085" s="26"/>
      <x:c r="B1085" s="26"/>
      <x:c r="C1085" s="26"/>
      <x:c r="D1085" s="26"/>
      <x:c r="E1085" s="26"/>
      <x:c r="F1085" s="26"/>
      <x:c r="G1085" s="26"/>
      <x:c r="H1085" s="26"/>
      <x:c r="I1085" s="26"/>
      <x:c r="J1085" s="26"/>
      <x:c r="K1085" s="26"/>
      <x:c r="L1085" s="26"/>
    </x:row>
    <x:row r="1086">
      <x:c r="A1086" s="26"/>
      <x:c r="B1086" s="26"/>
      <x:c r="C1086" s="26"/>
      <x:c r="D1086" s="26"/>
      <x:c r="E1086" s="26"/>
      <x:c r="F1086" s="26"/>
      <x:c r="G1086" s="26"/>
      <x:c r="H1086" s="26"/>
      <x:c r="I1086" s="26"/>
      <x:c r="J1086" s="26"/>
      <x:c r="K1086" s="26"/>
      <x:c r="L1086" s="26"/>
    </x:row>
    <x:row r="1087">
      <x:c r="A1087" s="26"/>
      <x:c r="B1087" s="26"/>
      <x:c r="C1087" s="26"/>
      <x:c r="D1087" s="26"/>
      <x:c r="E1087" s="26"/>
      <x:c r="F1087" s="26"/>
      <x:c r="G1087" s="26"/>
      <x:c r="H1087" s="26"/>
      <x:c r="I1087" s="26"/>
      <x:c r="J1087" s="26"/>
      <x:c r="K1087" s="26"/>
      <x:c r="L1087" s="26"/>
    </x:row>
    <x:row r="1088">
      <x:c r="A1088" s="26"/>
      <x:c r="B1088" s="26"/>
      <x:c r="C1088" s="26"/>
      <x:c r="D1088" s="26"/>
      <x:c r="E1088" s="26"/>
      <x:c r="F1088" s="26"/>
      <x:c r="G1088" s="26"/>
      <x:c r="H1088" s="26"/>
      <x:c r="I1088" s="26"/>
      <x:c r="J1088" s="26"/>
      <x:c r="K1088" s="26"/>
      <x:c r="L1088" s="26"/>
    </x:row>
    <x:row r="1089">
      <x:c r="A1089" s="26"/>
      <x:c r="B1089" s="26"/>
      <x:c r="C1089" s="26"/>
      <x:c r="D1089" s="26"/>
      <x:c r="E1089" s="26"/>
      <x:c r="F1089" s="26"/>
      <x:c r="G1089" s="26"/>
      <x:c r="H1089" s="26"/>
      <x:c r="I1089" s="26"/>
      <x:c r="J1089" s="26"/>
      <x:c r="K1089" s="26"/>
      <x:c r="L1089" s="26"/>
    </x:row>
    <x:row r="1090">
      <x:c r="A1090" s="26"/>
      <x:c r="B1090" s="26"/>
      <x:c r="C1090" s="26"/>
      <x:c r="D1090" s="26"/>
      <x:c r="E1090" s="26"/>
      <x:c r="F1090" s="26"/>
      <x:c r="G1090" s="26"/>
      <x:c r="H1090" s="26"/>
      <x:c r="I1090" s="26"/>
      <x:c r="J1090" s="26"/>
      <x:c r="K1090" s="26"/>
      <x:c r="L1090" s="26"/>
    </x:row>
    <x:row r="1091">
      <x:c r="A1091" s="26"/>
      <x:c r="B1091" s="26"/>
      <x:c r="C1091" s="26"/>
      <x:c r="D1091" s="26"/>
      <x:c r="E1091" s="26"/>
      <x:c r="F1091" s="26"/>
      <x:c r="G1091" s="26"/>
      <x:c r="H1091" s="26"/>
      <x:c r="I1091" s="26"/>
      <x:c r="J1091" s="26"/>
      <x:c r="K1091" s="26"/>
      <x:c r="L1091" s="26"/>
    </x:row>
    <x:row r="1092">
      <x:c r="A1092" s="26"/>
      <x:c r="B1092" s="26"/>
      <x:c r="C1092" s="26"/>
      <x:c r="D1092" s="26"/>
      <x:c r="E1092" s="26"/>
      <x:c r="F1092" s="26"/>
      <x:c r="G1092" s="26"/>
      <x:c r="H1092" s="26"/>
      <x:c r="I1092" s="26"/>
      <x:c r="J1092" s="26"/>
      <x:c r="K1092" s="26"/>
      <x:c r="L1092" s="26"/>
    </x:row>
    <x:row r="1093">
      <x:c r="A1093" s="26"/>
      <x:c r="B1093" s="26"/>
      <x:c r="C1093" s="26"/>
      <x:c r="D1093" s="26"/>
      <x:c r="E1093" s="26"/>
      <x:c r="F1093" s="26"/>
      <x:c r="G1093" s="26"/>
      <x:c r="H1093" s="26"/>
      <x:c r="I1093" s="26"/>
      <x:c r="J1093" s="26"/>
      <x:c r="K1093" s="26"/>
      <x:c r="L1093" s="26"/>
    </x:row>
    <x:row r="1094">
      <x:c r="A1094" s="26"/>
      <x:c r="B1094" s="26"/>
      <x:c r="C1094" s="26"/>
      <x:c r="D1094" s="26"/>
      <x:c r="E1094" s="26"/>
      <x:c r="F1094" s="26"/>
      <x:c r="G1094" s="26"/>
      <x:c r="H1094" s="26"/>
      <x:c r="I1094" s="26"/>
      <x:c r="J1094" s="26"/>
      <x:c r="K1094" s="26"/>
      <x:c r="L1094" s="26"/>
    </x:row>
    <x:row r="1095">
      <x:c r="A1095" s="26"/>
      <x:c r="B1095" s="26"/>
      <x:c r="C1095" s="26"/>
      <x:c r="D1095" s="26"/>
      <x:c r="E1095" s="26"/>
      <x:c r="F1095" s="26"/>
      <x:c r="G1095" s="26"/>
      <x:c r="H1095" s="26"/>
      <x:c r="I1095" s="26"/>
      <x:c r="J1095" s="26"/>
      <x:c r="K1095" s="26"/>
      <x:c r="L1095" s="26"/>
    </x:row>
    <x:row r="1096">
      <x:c r="A1096" s="26"/>
      <x:c r="B1096" s="26"/>
      <x:c r="C1096" s="26"/>
      <x:c r="D1096" s="26"/>
      <x:c r="E1096" s="26"/>
      <x:c r="F1096" s="26"/>
      <x:c r="G1096" s="26"/>
      <x:c r="H1096" s="26"/>
      <x:c r="I1096" s="26"/>
      <x:c r="J1096" s="26"/>
      <x:c r="K1096" s="26"/>
      <x:c r="L1096" s="26"/>
    </x:row>
    <x:row r="1097">
      <x:c r="A1097" s="26"/>
      <x:c r="B1097" s="26"/>
      <x:c r="C1097" s="26"/>
      <x:c r="D1097" s="26"/>
      <x:c r="E1097" s="26"/>
      <x:c r="F1097" s="26"/>
      <x:c r="G1097" s="26"/>
      <x:c r="H1097" s="26"/>
      <x:c r="I1097" s="26"/>
      <x:c r="J1097" s="26"/>
      <x:c r="K1097" s="26"/>
      <x:c r="L1097" s="26"/>
    </x:row>
    <x:row r="1098">
      <x:c r="A1098" s="26"/>
      <x:c r="B1098" s="26"/>
      <x:c r="C1098" s="26"/>
      <x:c r="D1098" s="26"/>
      <x:c r="E1098" s="26"/>
      <x:c r="F1098" s="26"/>
      <x:c r="G1098" s="26"/>
      <x:c r="H1098" s="26"/>
      <x:c r="I1098" s="26"/>
      <x:c r="J1098" s="26"/>
      <x:c r="K1098" s="26"/>
      <x:c r="L1098" s="26"/>
    </x:row>
    <x:row r="1099">
      <x:c r="A1099" s="26"/>
      <x:c r="B1099" s="26"/>
      <x:c r="C1099" s="26"/>
      <x:c r="D1099" s="26"/>
      <x:c r="E1099" s="26"/>
      <x:c r="F1099" s="26"/>
      <x:c r="G1099" s="26"/>
      <x:c r="H1099" s="26"/>
      <x:c r="I1099" s="26"/>
      <x:c r="J1099" s="26"/>
      <x:c r="K1099" s="26"/>
      <x:c r="L1099" s="26"/>
    </x:row>
    <x:row r="1100">
      <x:c r="A1100" s="26"/>
      <x:c r="B1100" s="26"/>
      <x:c r="C1100" s="26"/>
      <x:c r="D1100" s="26"/>
      <x:c r="E1100" s="26"/>
      <x:c r="F1100" s="26"/>
      <x:c r="G1100" s="26"/>
      <x:c r="H1100" s="26"/>
      <x:c r="I1100" s="26"/>
      <x:c r="J1100" s="26"/>
      <x:c r="K1100" s="26"/>
      <x:c r="L1100" s="26"/>
    </x:row>
    <x:row r="1101">
      <x:c r="A1101" s="26"/>
      <x:c r="B1101" s="26"/>
      <x:c r="C1101" s="26"/>
      <x:c r="D1101" s="26"/>
      <x:c r="E1101" s="26"/>
      <x:c r="F1101" s="26"/>
      <x:c r="G1101" s="26"/>
      <x:c r="H1101" s="26"/>
      <x:c r="I1101" s="26"/>
      <x:c r="J1101" s="26"/>
      <x:c r="K1101" s="26"/>
      <x:c r="L1101" s="26"/>
    </x:row>
    <x:row r="1102">
      <x:c r="A1102" s="26"/>
      <x:c r="B1102" s="26"/>
      <x:c r="C1102" s="26"/>
      <x:c r="D1102" s="26"/>
      <x:c r="E1102" s="26"/>
      <x:c r="F1102" s="26"/>
      <x:c r="G1102" s="26"/>
      <x:c r="H1102" s="26"/>
      <x:c r="I1102" s="26"/>
      <x:c r="J1102" s="26"/>
      <x:c r="K1102" s="26"/>
      <x:c r="L1102" s="26"/>
    </x:row>
    <x:row r="1103">
      <x:c r="A1103" s="26"/>
      <x:c r="B1103" s="26"/>
      <x:c r="C1103" s="26"/>
      <x:c r="D1103" s="26"/>
      <x:c r="E1103" s="26"/>
      <x:c r="F1103" s="26"/>
      <x:c r="G1103" s="26"/>
      <x:c r="H1103" s="26"/>
      <x:c r="I1103" s="26"/>
      <x:c r="J1103" s="26"/>
      <x:c r="K1103" s="26"/>
      <x:c r="L1103" s="26"/>
    </x:row>
    <x:row r="1104">
      <x:c r="A1104" s="26"/>
      <x:c r="B1104" s="26"/>
      <x:c r="C1104" s="26"/>
      <x:c r="D1104" s="26"/>
      <x:c r="E1104" s="26"/>
      <x:c r="F1104" s="26"/>
      <x:c r="G1104" s="26"/>
      <x:c r="H1104" s="26"/>
      <x:c r="I1104" s="26"/>
      <x:c r="J1104" s="26"/>
      <x:c r="K1104" s="26"/>
      <x:c r="L1104" s="26"/>
    </x:row>
    <x:row r="1105">
      <x:c r="A1105" s="26"/>
      <x:c r="B1105" s="26"/>
      <x:c r="C1105" s="26"/>
      <x:c r="D1105" s="26"/>
      <x:c r="E1105" s="26"/>
      <x:c r="F1105" s="26"/>
      <x:c r="G1105" s="26"/>
      <x:c r="H1105" s="26"/>
      <x:c r="I1105" s="26"/>
      <x:c r="J1105" s="26"/>
      <x:c r="K1105" s="26"/>
      <x:c r="L1105" s="26"/>
    </x:row>
    <x:row r="1106">
      <x:c r="A1106" s="26"/>
      <x:c r="B1106" s="26"/>
      <x:c r="C1106" s="26"/>
      <x:c r="D1106" s="26"/>
      <x:c r="E1106" s="26"/>
      <x:c r="F1106" s="26"/>
      <x:c r="G1106" s="26"/>
      <x:c r="H1106" s="26"/>
      <x:c r="I1106" s="26"/>
      <x:c r="J1106" s="26"/>
      <x:c r="K1106" s="26"/>
      <x:c r="L1106" s="26"/>
    </x:row>
    <x:row r="1107">
      <x:c r="A1107" s="26"/>
      <x:c r="B1107" s="26"/>
      <x:c r="C1107" s="26"/>
      <x:c r="D1107" s="26"/>
      <x:c r="E1107" s="26"/>
      <x:c r="F1107" s="26"/>
      <x:c r="G1107" s="26"/>
      <x:c r="H1107" s="26"/>
      <x:c r="I1107" s="26"/>
      <x:c r="J1107" s="26"/>
      <x:c r="K1107" s="26"/>
      <x:c r="L1107" s="26"/>
    </x:row>
    <x:row r="1108">
      <x:c r="A1108" s="26"/>
      <x:c r="B1108" s="26"/>
      <x:c r="C1108" s="26"/>
      <x:c r="D1108" s="26"/>
      <x:c r="E1108" s="26"/>
      <x:c r="F1108" s="26"/>
      <x:c r="G1108" s="26"/>
      <x:c r="H1108" s="26"/>
      <x:c r="I1108" s="26"/>
      <x:c r="J1108" s="26"/>
      <x:c r="K1108" s="26"/>
      <x:c r="L1108" s="26"/>
    </x:row>
    <x:row r="1109">
      <x:c r="A1109" s="26"/>
      <x:c r="B1109" s="26"/>
      <x:c r="C1109" s="26"/>
      <x:c r="D1109" s="26"/>
      <x:c r="E1109" s="26"/>
      <x:c r="F1109" s="26"/>
      <x:c r="G1109" s="26"/>
      <x:c r="H1109" s="26"/>
      <x:c r="I1109" s="26"/>
      <x:c r="J1109" s="26"/>
      <x:c r="K1109" s="26"/>
      <x:c r="L1109" s="26"/>
    </x:row>
    <x:row r="1110">
      <x:c r="A1110" s="26"/>
      <x:c r="B1110" s="26"/>
      <x:c r="C1110" s="26"/>
      <x:c r="D1110" s="26"/>
      <x:c r="E1110" s="26"/>
      <x:c r="F1110" s="26"/>
      <x:c r="G1110" s="26"/>
      <x:c r="H1110" s="26"/>
      <x:c r="I1110" s="26"/>
      <x:c r="J1110" s="26"/>
      <x:c r="K1110" s="26"/>
      <x:c r="L1110" s="26"/>
    </x:row>
    <x:row r="1111">
      <x:c r="A1111" s="26"/>
      <x:c r="B1111" s="26"/>
      <x:c r="C1111" s="26"/>
      <x:c r="D1111" s="26"/>
      <x:c r="E1111" s="26"/>
      <x:c r="F1111" s="26"/>
      <x:c r="G1111" s="26"/>
      <x:c r="H1111" s="26"/>
      <x:c r="I1111" s="26"/>
      <x:c r="J1111" s="26"/>
      <x:c r="K1111" s="26"/>
      <x:c r="L1111" s="26"/>
    </x:row>
    <x:row r="1112">
      <x:c r="A1112" s="26"/>
      <x:c r="B1112" s="26"/>
      <x:c r="C1112" s="26"/>
      <x:c r="D1112" s="26"/>
      <x:c r="E1112" s="26"/>
      <x:c r="F1112" s="26"/>
      <x:c r="G1112" s="26"/>
      <x:c r="H1112" s="26"/>
      <x:c r="I1112" s="26"/>
      <x:c r="J1112" s="26"/>
      <x:c r="K1112" s="26"/>
      <x:c r="L1112" s="26"/>
    </x:row>
    <x:row r="1113">
      <x:c r="A1113" s="26"/>
      <x:c r="B1113" s="26"/>
      <x:c r="C1113" s="26"/>
      <x:c r="D1113" s="26"/>
      <x:c r="E1113" s="26"/>
      <x:c r="F1113" s="26"/>
      <x:c r="G1113" s="26"/>
      <x:c r="H1113" s="26"/>
      <x:c r="I1113" s="26"/>
      <x:c r="J1113" s="26"/>
      <x:c r="K1113" s="26"/>
      <x:c r="L1113" s="26"/>
    </x:row>
    <x:row r="1114">
      <x:c r="A1114" s="26"/>
      <x:c r="B1114" s="26"/>
      <x:c r="C1114" s="26"/>
      <x:c r="D1114" s="26"/>
      <x:c r="E1114" s="26"/>
      <x:c r="F1114" s="26"/>
      <x:c r="G1114" s="26"/>
      <x:c r="H1114" s="26"/>
      <x:c r="I1114" s="26"/>
      <x:c r="J1114" s="26"/>
      <x:c r="K1114" s="26"/>
      <x:c r="L1114" s="26"/>
    </x:row>
    <x:row r="1115">
      <x:c r="A1115" s="26"/>
      <x:c r="B1115" s="26"/>
      <x:c r="C1115" s="26"/>
      <x:c r="D1115" s="26"/>
      <x:c r="E1115" s="26"/>
      <x:c r="F1115" s="26"/>
      <x:c r="G1115" s="26"/>
      <x:c r="H1115" s="26"/>
      <x:c r="I1115" s="26"/>
      <x:c r="J1115" s="26"/>
      <x:c r="K1115" s="26"/>
      <x:c r="L1115" s="26"/>
    </x:row>
    <x:row r="1116">
      <x:c r="A1116" s="26"/>
      <x:c r="B1116" s="26"/>
      <x:c r="C1116" s="26"/>
      <x:c r="D1116" s="26"/>
      <x:c r="E1116" s="26"/>
      <x:c r="F1116" s="26"/>
      <x:c r="G1116" s="26"/>
      <x:c r="H1116" s="26"/>
      <x:c r="I1116" s="26"/>
      <x:c r="J1116" s="26"/>
      <x:c r="K1116" s="26"/>
      <x:c r="L1116" s="26"/>
    </x:row>
    <x:row r="1117">
      <x:c r="A1117" s="26"/>
      <x:c r="B1117" s="26"/>
      <x:c r="C1117" s="26"/>
      <x:c r="D1117" s="26"/>
      <x:c r="E1117" s="26"/>
      <x:c r="F1117" s="26"/>
      <x:c r="G1117" s="26"/>
      <x:c r="H1117" s="26"/>
      <x:c r="I1117" s="26"/>
      <x:c r="J1117" s="26"/>
      <x:c r="K1117" s="26"/>
      <x:c r="L1117" s="26"/>
    </x:row>
    <x:row r="1118">
      <x:c r="A1118" s="26"/>
      <x:c r="B1118" s="26"/>
      <x:c r="C1118" s="26"/>
      <x:c r="D1118" s="26"/>
      <x:c r="E1118" s="26"/>
      <x:c r="F1118" s="26"/>
      <x:c r="G1118" s="26"/>
      <x:c r="H1118" s="26"/>
      <x:c r="I1118" s="26"/>
      <x:c r="J1118" s="26"/>
      <x:c r="K1118" s="26"/>
      <x:c r="L1118" s="26"/>
    </x:row>
    <x:row r="1119">
      <x:c r="A1119" s="26"/>
      <x:c r="B1119" s="26"/>
      <x:c r="C1119" s="26"/>
      <x:c r="D1119" s="26"/>
      <x:c r="E1119" s="26"/>
      <x:c r="F1119" s="26"/>
      <x:c r="G1119" s="26"/>
      <x:c r="H1119" s="26"/>
      <x:c r="I1119" s="26"/>
      <x:c r="J1119" s="26"/>
      <x:c r="K1119" s="26"/>
      <x:c r="L1119" s="26"/>
    </x:row>
    <x:row r="1120">
      <x:c r="A1120" s="26"/>
      <x:c r="B1120" s="26"/>
      <x:c r="C1120" s="26"/>
      <x:c r="D1120" s="26"/>
      <x:c r="E1120" s="26"/>
      <x:c r="F1120" s="26"/>
      <x:c r="G1120" s="26"/>
      <x:c r="H1120" s="26"/>
      <x:c r="I1120" s="26"/>
      <x:c r="J1120" s="26"/>
      <x:c r="K1120" s="26"/>
      <x:c r="L1120" s="26"/>
    </x:row>
    <x:row r="1121">
      <x:c r="A1121" s="26"/>
      <x:c r="B1121" s="26"/>
      <x:c r="C1121" s="26"/>
      <x:c r="D1121" s="26"/>
      <x:c r="E1121" s="26"/>
      <x:c r="F1121" s="26"/>
      <x:c r="G1121" s="26"/>
      <x:c r="H1121" s="26"/>
      <x:c r="I1121" s="26"/>
      <x:c r="J1121" s="26"/>
      <x:c r="K1121" s="26"/>
      <x:c r="L1121" s="26"/>
    </x:row>
    <x:row r="1122">
      <x:c r="A1122" s="26"/>
      <x:c r="B1122" s="26"/>
      <x:c r="C1122" s="26"/>
      <x:c r="D1122" s="26"/>
      <x:c r="E1122" s="26"/>
      <x:c r="F1122" s="26"/>
      <x:c r="G1122" s="26"/>
      <x:c r="H1122" s="26"/>
      <x:c r="I1122" s="26"/>
      <x:c r="J1122" s="26"/>
      <x:c r="K1122" s="26"/>
      <x:c r="L1122" s="26"/>
    </x:row>
    <x:row r="1123">
      <x:c r="A1123" s="26"/>
      <x:c r="B1123" s="26"/>
      <x:c r="C1123" s="26"/>
      <x:c r="D1123" s="26"/>
      <x:c r="E1123" s="26"/>
      <x:c r="F1123" s="26"/>
      <x:c r="G1123" s="26"/>
      <x:c r="H1123" s="26"/>
      <x:c r="I1123" s="26"/>
      <x:c r="J1123" s="26"/>
      <x:c r="K1123" s="26"/>
      <x:c r="L1123" s="26"/>
    </x:row>
    <x:row r="1124">
      <x:c r="A1124" s="26"/>
      <x:c r="B1124" s="26"/>
      <x:c r="C1124" s="26"/>
      <x:c r="D1124" s="26"/>
      <x:c r="E1124" s="26"/>
      <x:c r="F1124" s="26"/>
      <x:c r="G1124" s="26"/>
      <x:c r="H1124" s="26"/>
      <x:c r="I1124" s="26"/>
      <x:c r="J1124" s="26"/>
      <x:c r="K1124" s="26"/>
      <x:c r="L1124" s="26"/>
    </x:row>
    <x:row r="1125">
      <x:c r="A1125" s="26"/>
      <x:c r="B1125" s="26"/>
      <x:c r="C1125" s="26"/>
      <x:c r="D1125" s="26"/>
      <x:c r="E1125" s="26"/>
      <x:c r="F1125" s="26"/>
      <x:c r="G1125" s="26"/>
      <x:c r="H1125" s="26"/>
      <x:c r="I1125" s="26"/>
      <x:c r="J1125" s="26"/>
      <x:c r="K1125" s="26"/>
      <x:c r="L1125" s="26"/>
    </x:row>
    <x:row r="1126">
      <x:c r="A1126" s="26"/>
      <x:c r="B1126" s="26"/>
      <x:c r="C1126" s="26"/>
      <x:c r="D1126" s="26"/>
      <x:c r="E1126" s="26"/>
      <x:c r="F1126" s="26"/>
      <x:c r="G1126" s="26"/>
      <x:c r="H1126" s="26"/>
      <x:c r="I1126" s="26"/>
      <x:c r="J1126" s="26"/>
      <x:c r="K1126" s="26"/>
      <x:c r="L1126" s="26"/>
    </x:row>
    <x:row r="1127">
      <x:c r="A1127" s="26"/>
      <x:c r="B1127" s="26"/>
      <x:c r="C1127" s="26"/>
      <x:c r="D1127" s="26"/>
      <x:c r="E1127" s="26"/>
      <x:c r="F1127" s="26"/>
      <x:c r="G1127" s="26"/>
      <x:c r="H1127" s="26"/>
      <x:c r="I1127" s="26"/>
      <x:c r="J1127" s="26"/>
      <x:c r="K1127" s="26"/>
      <x:c r="L1127" s="26"/>
    </x:row>
    <x:row r="1128">
      <x:c r="A1128" s="26"/>
      <x:c r="B1128" s="26"/>
      <x:c r="C1128" s="26"/>
      <x:c r="D1128" s="26"/>
      <x:c r="E1128" s="26"/>
      <x:c r="F1128" s="26"/>
      <x:c r="G1128" s="26"/>
      <x:c r="H1128" s="26"/>
      <x:c r="I1128" s="26"/>
      <x:c r="J1128" s="26"/>
      <x:c r="K1128" s="26"/>
      <x:c r="L1128" s="26"/>
    </x:row>
    <x:row r="1129">
      <x:c r="A1129" s="26"/>
      <x:c r="B1129" s="26"/>
      <x:c r="C1129" s="26"/>
      <x:c r="D1129" s="26"/>
      <x:c r="E1129" s="26"/>
      <x:c r="F1129" s="26"/>
      <x:c r="G1129" s="26"/>
      <x:c r="H1129" s="26"/>
      <x:c r="I1129" s="26"/>
      <x:c r="J1129" s="26"/>
      <x:c r="K1129" s="26"/>
      <x:c r="L1129" s="26"/>
    </x:row>
    <x:row r="1130">
      <x:c r="A1130" s="26"/>
      <x:c r="B1130" s="26"/>
      <x:c r="C1130" s="26"/>
      <x:c r="D1130" s="26"/>
      <x:c r="E1130" s="26"/>
      <x:c r="F1130" s="26"/>
      <x:c r="G1130" s="26"/>
      <x:c r="H1130" s="26"/>
      <x:c r="I1130" s="26"/>
      <x:c r="J1130" s="26"/>
      <x:c r="K1130" s="26"/>
      <x:c r="L1130" s="26"/>
    </x:row>
    <x:row r="1131">
      <x:c r="A1131" s="26"/>
      <x:c r="B1131" s="26"/>
      <x:c r="C1131" s="26"/>
      <x:c r="D1131" s="26"/>
      <x:c r="E1131" s="26"/>
      <x:c r="F1131" s="26"/>
      <x:c r="G1131" s="26"/>
      <x:c r="H1131" s="26"/>
      <x:c r="I1131" s="26"/>
      <x:c r="J1131" s="26"/>
      <x:c r="K1131" s="26"/>
      <x:c r="L1131" s="26"/>
    </x:row>
    <x:row r="1132">
      <x:c r="A1132" s="26"/>
      <x:c r="B1132" s="26"/>
      <x:c r="C1132" s="26"/>
      <x:c r="D1132" s="26"/>
      <x:c r="E1132" s="26"/>
      <x:c r="F1132" s="26"/>
      <x:c r="G1132" s="26"/>
      <x:c r="H1132" s="26"/>
      <x:c r="I1132" s="26"/>
      <x:c r="J1132" s="26"/>
      <x:c r="K1132" s="26"/>
      <x:c r="L1132" s="26"/>
    </x:row>
    <x:row r="1133">
      <x:c r="A1133" s="26"/>
      <x:c r="B1133" s="26"/>
      <x:c r="C1133" s="26"/>
      <x:c r="D1133" s="26"/>
      <x:c r="E1133" s="26"/>
      <x:c r="F1133" s="26"/>
      <x:c r="G1133" s="26"/>
      <x:c r="H1133" s="26"/>
      <x:c r="I1133" s="26"/>
      <x:c r="J1133" s="26"/>
      <x:c r="K1133" s="26"/>
      <x:c r="L1133" s="26"/>
    </x:row>
    <x:row r="1134">
      <x:c r="A1134" s="26"/>
      <x:c r="B1134" s="26"/>
      <x:c r="C1134" s="26"/>
      <x:c r="D1134" s="26"/>
      <x:c r="E1134" s="26"/>
      <x:c r="F1134" s="26"/>
      <x:c r="G1134" s="26"/>
      <x:c r="H1134" s="26"/>
      <x:c r="I1134" s="26"/>
      <x:c r="J1134" s="26"/>
      <x:c r="K1134" s="26"/>
      <x:c r="L1134" s="26"/>
    </x:row>
    <x:row r="1135">
      <x:c r="A1135" s="26"/>
      <x:c r="B1135" s="26"/>
      <x:c r="C1135" s="26"/>
      <x:c r="D1135" s="26"/>
      <x:c r="E1135" s="26"/>
      <x:c r="F1135" s="26"/>
      <x:c r="G1135" s="26"/>
      <x:c r="H1135" s="26"/>
      <x:c r="I1135" s="26"/>
      <x:c r="J1135" s="26"/>
      <x:c r="K1135" s="26"/>
      <x:c r="L1135" s="26"/>
    </x:row>
    <x:row r="1136">
      <x:c r="A1136" s="26"/>
      <x:c r="B1136" s="26"/>
      <x:c r="C1136" s="26"/>
      <x:c r="D1136" s="26"/>
      <x:c r="E1136" s="26"/>
      <x:c r="F1136" s="26"/>
      <x:c r="G1136" s="26"/>
      <x:c r="H1136" s="26"/>
      <x:c r="I1136" s="26"/>
      <x:c r="J1136" s="26"/>
      <x:c r="K1136" s="26"/>
      <x:c r="L1136" s="26"/>
    </x:row>
    <x:row r="1137">
      <x:c r="A1137" s="26"/>
      <x:c r="B1137" s="26"/>
      <x:c r="C1137" s="26"/>
      <x:c r="D1137" s="26"/>
      <x:c r="E1137" s="26"/>
      <x:c r="F1137" s="26"/>
      <x:c r="G1137" s="26"/>
      <x:c r="H1137" s="26"/>
      <x:c r="I1137" s="26"/>
      <x:c r="J1137" s="26"/>
      <x:c r="K1137" s="26"/>
      <x:c r="L1137" s="26"/>
    </x:row>
    <x:row r="1138">
      <x:c r="A1138" s="26"/>
      <x:c r="B1138" s="26"/>
      <x:c r="C1138" s="26"/>
      <x:c r="D1138" s="26"/>
      <x:c r="E1138" s="26"/>
      <x:c r="F1138" s="26"/>
      <x:c r="G1138" s="26"/>
      <x:c r="H1138" s="26"/>
      <x:c r="I1138" s="26"/>
      <x:c r="J1138" s="26"/>
      <x:c r="K1138" s="26"/>
      <x:c r="L1138" s="26"/>
    </x:row>
    <x:row r="1139">
      <x:c r="A1139" s="26"/>
      <x:c r="B1139" s="26"/>
      <x:c r="C1139" s="26"/>
      <x:c r="D1139" s="26"/>
      <x:c r="E1139" s="26"/>
      <x:c r="F1139" s="26"/>
      <x:c r="G1139" s="26"/>
      <x:c r="H1139" s="26"/>
      <x:c r="I1139" s="26"/>
      <x:c r="J1139" s="26"/>
      <x:c r="K1139" s="26"/>
      <x:c r="L1139" s="26"/>
    </x:row>
    <x:row r="1140">
      <x:c r="A1140" s="26"/>
      <x:c r="B1140" s="26"/>
      <x:c r="C1140" s="26"/>
      <x:c r="D1140" s="26"/>
      <x:c r="E1140" s="26"/>
      <x:c r="F1140" s="26"/>
      <x:c r="G1140" s="26"/>
      <x:c r="H1140" s="26"/>
      <x:c r="I1140" s="26"/>
      <x:c r="J1140" s="26"/>
      <x:c r="K1140" s="26"/>
      <x:c r="L1140" s="26"/>
    </x:row>
    <x:row r="1141">
      <x:c r="A1141" s="26"/>
      <x:c r="B1141" s="26"/>
      <x:c r="C1141" s="26"/>
      <x:c r="D1141" s="26"/>
      <x:c r="E1141" s="26"/>
      <x:c r="F1141" s="26"/>
      <x:c r="G1141" s="26"/>
      <x:c r="H1141" s="26"/>
      <x:c r="I1141" s="26"/>
      <x:c r="J1141" s="26"/>
      <x:c r="K1141" s="26"/>
      <x:c r="L1141" s="26"/>
    </x:row>
    <x:row r="1142">
      <x:c r="A1142" s="26"/>
      <x:c r="B1142" s="26"/>
      <x:c r="C1142" s="26"/>
      <x:c r="D1142" s="26"/>
      <x:c r="E1142" s="26"/>
      <x:c r="F1142" s="26"/>
      <x:c r="G1142" s="26"/>
      <x:c r="H1142" s="26"/>
      <x:c r="I1142" s="26"/>
      <x:c r="J1142" s="26"/>
      <x:c r="K1142" s="26"/>
      <x:c r="L1142" s="26"/>
    </x:row>
    <x:row r="1143">
      <x:c r="A1143" s="26"/>
      <x:c r="B1143" s="26"/>
      <x:c r="C1143" s="26"/>
      <x:c r="D1143" s="26"/>
      <x:c r="E1143" s="26"/>
      <x:c r="F1143" s="26"/>
      <x:c r="G1143" s="26"/>
      <x:c r="H1143" s="26"/>
      <x:c r="I1143" s="26"/>
      <x:c r="J1143" s="26"/>
      <x:c r="K1143" s="26"/>
      <x:c r="L1143" s="26"/>
    </x:row>
    <x:row r="1144">
      <x:c r="A1144" s="26"/>
      <x:c r="B1144" s="26"/>
      <x:c r="C1144" s="26"/>
      <x:c r="D1144" s="26"/>
      <x:c r="E1144" s="26"/>
      <x:c r="F1144" s="26"/>
      <x:c r="G1144" s="26"/>
      <x:c r="H1144" s="26"/>
      <x:c r="I1144" s="26"/>
      <x:c r="J1144" s="26"/>
      <x:c r="K1144" s="26"/>
      <x:c r="L1144" s="26"/>
    </x:row>
    <x:row r="1145">
      <x:c r="A1145" s="26"/>
      <x:c r="B1145" s="26"/>
      <x:c r="C1145" s="26"/>
      <x:c r="D1145" s="26"/>
      <x:c r="E1145" s="26"/>
      <x:c r="F1145" s="26"/>
      <x:c r="G1145" s="26"/>
      <x:c r="H1145" s="26"/>
      <x:c r="I1145" s="26"/>
      <x:c r="J1145" s="26"/>
      <x:c r="K1145" s="26"/>
      <x:c r="L1145" s="26"/>
    </x:row>
    <x:row r="1146">
      <x:c r="A1146" s="26"/>
      <x:c r="B1146" s="26"/>
      <x:c r="C1146" s="26"/>
      <x:c r="D1146" s="26"/>
      <x:c r="E1146" s="26"/>
      <x:c r="F1146" s="26"/>
      <x:c r="G1146" s="26"/>
      <x:c r="H1146" s="26"/>
      <x:c r="I1146" s="26"/>
      <x:c r="J1146" s="26"/>
      <x:c r="K1146" s="26"/>
      <x:c r="L1146" s="26"/>
    </x:row>
    <x:row r="1147">
      <x:c r="A1147" s="26"/>
      <x:c r="B1147" s="26"/>
      <x:c r="C1147" s="26"/>
      <x:c r="D1147" s="26"/>
      <x:c r="E1147" s="26"/>
      <x:c r="F1147" s="26"/>
      <x:c r="G1147" s="26"/>
      <x:c r="H1147" s="26"/>
      <x:c r="I1147" s="26"/>
      <x:c r="J1147" s="26"/>
      <x:c r="K1147" s="26"/>
      <x:c r="L1147" s="26"/>
    </x:row>
    <x:row r="1148">
      <x:c r="A1148" s="26"/>
      <x:c r="B1148" s="26"/>
      <x:c r="C1148" s="26"/>
      <x:c r="D1148" s="26"/>
      <x:c r="E1148" s="26"/>
      <x:c r="F1148" s="26"/>
      <x:c r="G1148" s="26"/>
      <x:c r="H1148" s="26"/>
      <x:c r="I1148" s="26"/>
      <x:c r="J1148" s="26"/>
      <x:c r="K1148" s="26"/>
      <x:c r="L1148" s="26"/>
    </x:row>
    <x:row r="1149">
      <x:c r="A1149" s="26"/>
      <x:c r="B1149" s="26"/>
      <x:c r="C1149" s="26"/>
      <x:c r="D1149" s="26"/>
      <x:c r="E1149" s="26"/>
      <x:c r="F1149" s="26"/>
      <x:c r="G1149" s="26"/>
      <x:c r="H1149" s="26"/>
      <x:c r="I1149" s="26"/>
      <x:c r="J1149" s="26"/>
      <x:c r="K1149" s="26"/>
      <x:c r="L1149" s="26"/>
    </x:row>
    <x:row r="1150">
      <x:c r="A1150" s="26"/>
      <x:c r="B1150" s="26"/>
      <x:c r="C1150" s="26"/>
      <x:c r="D1150" s="26"/>
      <x:c r="E1150" s="26"/>
      <x:c r="F1150" s="26"/>
      <x:c r="G1150" s="26"/>
      <x:c r="H1150" s="26"/>
      <x:c r="I1150" s="26"/>
      <x:c r="J1150" s="26"/>
      <x:c r="K1150" s="26"/>
      <x:c r="L1150" s="26"/>
    </x:row>
    <x:row r="1151">
      <x:c r="A1151" s="26"/>
      <x:c r="B1151" s="26"/>
      <x:c r="C1151" s="26"/>
      <x:c r="D1151" s="26"/>
      <x:c r="E1151" s="26"/>
      <x:c r="F1151" s="26"/>
      <x:c r="G1151" s="26"/>
      <x:c r="H1151" s="26"/>
      <x:c r="I1151" s="26"/>
      <x:c r="J1151" s="26"/>
      <x:c r="K1151" s="26"/>
      <x:c r="L1151" s="26"/>
    </x:row>
    <x:row r="1152">
      <x:c r="A1152" s="26"/>
      <x:c r="B1152" s="26"/>
      <x:c r="C1152" s="26"/>
      <x:c r="D1152" s="26"/>
      <x:c r="E1152" s="26"/>
      <x:c r="F1152" s="26"/>
      <x:c r="G1152" s="26"/>
      <x:c r="H1152" s="26"/>
      <x:c r="I1152" s="26"/>
      <x:c r="J1152" s="26"/>
      <x:c r="K1152" s="26"/>
      <x:c r="L1152" s="26"/>
    </x:row>
    <x:row r="1153">
      <x:c r="A1153" s="26"/>
      <x:c r="B1153" s="26"/>
      <x:c r="C1153" s="26"/>
      <x:c r="D1153" s="26"/>
      <x:c r="E1153" s="26"/>
      <x:c r="F1153" s="26"/>
      <x:c r="G1153" s="26"/>
      <x:c r="H1153" s="26"/>
      <x:c r="I1153" s="26"/>
      <x:c r="J1153" s="26"/>
      <x:c r="K1153" s="26"/>
      <x:c r="L1153" s="26"/>
    </x:row>
    <x:row r="1154">
      <x:c r="A1154" s="26"/>
      <x:c r="B1154" s="26"/>
      <x:c r="C1154" s="26"/>
      <x:c r="D1154" s="26"/>
      <x:c r="E1154" s="26"/>
      <x:c r="F1154" s="26"/>
      <x:c r="G1154" s="26"/>
      <x:c r="H1154" s="26"/>
      <x:c r="I1154" s="26"/>
      <x:c r="J1154" s="26"/>
      <x:c r="K1154" s="26"/>
      <x:c r="L1154" s="26"/>
    </x:row>
    <x:row r="1155">
      <x:c r="A1155" s="26"/>
      <x:c r="B1155" s="26"/>
      <x:c r="C1155" s="26"/>
      <x:c r="D1155" s="26"/>
      <x:c r="E1155" s="26"/>
      <x:c r="F1155" s="26"/>
      <x:c r="G1155" s="26"/>
      <x:c r="H1155" s="26"/>
      <x:c r="I1155" s="26"/>
      <x:c r="J1155" s="26"/>
      <x:c r="K1155" s="26"/>
      <x:c r="L1155" s="26"/>
    </x:row>
    <x:row r="1156">
      <x:c r="A1156" s="26"/>
      <x:c r="B1156" s="26"/>
      <x:c r="C1156" s="26"/>
      <x:c r="D1156" s="26"/>
      <x:c r="E1156" s="26"/>
      <x:c r="F1156" s="26"/>
      <x:c r="G1156" s="26"/>
      <x:c r="H1156" s="26"/>
      <x:c r="I1156" s="26"/>
      <x:c r="J1156" s="26"/>
      <x:c r="K1156" s="26"/>
      <x:c r="L1156" s="26"/>
    </x:row>
    <x:row r="1157">
      <x:c r="A1157" s="26"/>
      <x:c r="B1157" s="26"/>
      <x:c r="C1157" s="26"/>
      <x:c r="D1157" s="26"/>
      <x:c r="E1157" s="26"/>
      <x:c r="F1157" s="26"/>
      <x:c r="G1157" s="26"/>
      <x:c r="H1157" s="26"/>
      <x:c r="I1157" s="26"/>
      <x:c r="J1157" s="26"/>
      <x:c r="K1157" s="26"/>
      <x:c r="L1157" s="26"/>
    </x:row>
    <x:row r="1158">
      <x:c r="A1158" s="26"/>
      <x:c r="B1158" s="26"/>
      <x:c r="C1158" s="26"/>
      <x:c r="D1158" s="26"/>
      <x:c r="E1158" s="26"/>
      <x:c r="F1158" s="26"/>
      <x:c r="G1158" s="26"/>
      <x:c r="H1158" s="26"/>
      <x:c r="I1158" s="26"/>
      <x:c r="J1158" s="26"/>
      <x:c r="K1158" s="26"/>
      <x:c r="L1158" s="26"/>
    </x:row>
    <x:row r="1159">
      <x:c r="A1159" s="26"/>
      <x:c r="B1159" s="26"/>
      <x:c r="C1159" s="26"/>
      <x:c r="D1159" s="26"/>
      <x:c r="E1159" s="26"/>
      <x:c r="F1159" s="26"/>
      <x:c r="G1159" s="26"/>
      <x:c r="H1159" s="26"/>
      <x:c r="I1159" s="26"/>
      <x:c r="J1159" s="26"/>
      <x:c r="K1159" s="26"/>
      <x:c r="L1159" s="26"/>
    </x:row>
    <x:row r="1160">
      <x:c r="A1160" s="26"/>
      <x:c r="B1160" s="26"/>
      <x:c r="C1160" s="26"/>
      <x:c r="D1160" s="26"/>
      <x:c r="E1160" s="26"/>
      <x:c r="F1160" s="26"/>
      <x:c r="G1160" s="26"/>
      <x:c r="H1160" s="26"/>
      <x:c r="I1160" s="26"/>
      <x:c r="J1160" s="26"/>
      <x:c r="K1160" s="26"/>
      <x:c r="L1160" s="26"/>
    </x:row>
    <x:row r="1161">
      <x:c r="A1161" s="26"/>
      <x:c r="B1161" s="26"/>
      <x:c r="C1161" s="26"/>
      <x:c r="D1161" s="26"/>
      <x:c r="E1161" s="26"/>
      <x:c r="F1161" s="26"/>
      <x:c r="G1161" s="26"/>
      <x:c r="H1161" s="26"/>
      <x:c r="I1161" s="26"/>
      <x:c r="J1161" s="26"/>
      <x:c r="K1161" s="26"/>
      <x:c r="L1161" s="26"/>
    </x:row>
    <x:row r="1162">
      <x:c r="A1162" s="26"/>
      <x:c r="B1162" s="26"/>
      <x:c r="C1162" s="26"/>
      <x:c r="D1162" s="26"/>
      <x:c r="E1162" s="26"/>
      <x:c r="F1162" s="26"/>
      <x:c r="G1162" s="26"/>
      <x:c r="H1162" s="26"/>
      <x:c r="I1162" s="26"/>
      <x:c r="J1162" s="26"/>
      <x:c r="K1162" s="26"/>
      <x:c r="L1162" s="26"/>
    </x:row>
    <x:row r="1163">
      <x:c r="A1163" s="26"/>
      <x:c r="B1163" s="26"/>
      <x:c r="C1163" s="26"/>
      <x:c r="D1163" s="26"/>
      <x:c r="E1163" s="26"/>
      <x:c r="F1163" s="26"/>
      <x:c r="G1163" s="26"/>
      <x:c r="H1163" s="26"/>
      <x:c r="I1163" s="26"/>
      <x:c r="J1163" s="26"/>
      <x:c r="K1163" s="26"/>
      <x:c r="L1163" s="26"/>
    </x:row>
    <x:row r="1164">
      <x:c r="A1164" s="26"/>
      <x:c r="B1164" s="26"/>
      <x:c r="C1164" s="26"/>
      <x:c r="D1164" s="26"/>
      <x:c r="E1164" s="26"/>
      <x:c r="F1164" s="26"/>
      <x:c r="G1164" s="26"/>
      <x:c r="H1164" s="26"/>
      <x:c r="I1164" s="26"/>
      <x:c r="J1164" s="26"/>
      <x:c r="K1164" s="26"/>
      <x:c r="L1164" s="26"/>
    </x:row>
    <x:row r="1165">
      <x:c r="A1165" s="26"/>
      <x:c r="B1165" s="26"/>
      <x:c r="C1165" s="26"/>
      <x:c r="D1165" s="26"/>
      <x:c r="E1165" s="26"/>
      <x:c r="F1165" s="26"/>
      <x:c r="G1165" s="26"/>
      <x:c r="H1165" s="26"/>
      <x:c r="I1165" s="26"/>
      <x:c r="J1165" s="26"/>
      <x:c r="K1165" s="26"/>
      <x:c r="L1165" s="26"/>
    </x:row>
    <x:row r="1166">
      <x:c r="A1166" s="26"/>
      <x:c r="B1166" s="26"/>
      <x:c r="C1166" s="26"/>
      <x:c r="D1166" s="26"/>
      <x:c r="E1166" s="26"/>
      <x:c r="F1166" s="26"/>
      <x:c r="G1166" s="26"/>
      <x:c r="H1166" s="26"/>
      <x:c r="I1166" s="26"/>
      <x:c r="J1166" s="26"/>
      <x:c r="K1166" s="26"/>
      <x:c r="L1166" s="26"/>
    </x:row>
    <x:row r="1167">
      <x:c r="A1167" s="26"/>
      <x:c r="B1167" s="26"/>
      <x:c r="C1167" s="26"/>
      <x:c r="D1167" s="26"/>
      <x:c r="E1167" s="26"/>
      <x:c r="F1167" s="26"/>
      <x:c r="G1167" s="26"/>
      <x:c r="H1167" s="26"/>
      <x:c r="I1167" s="26"/>
      <x:c r="J1167" s="26"/>
      <x:c r="K1167" s="26"/>
      <x:c r="L1167" s="26"/>
    </x:row>
    <x:row r="1168">
      <x:c r="A1168" s="26"/>
      <x:c r="B1168" s="26"/>
      <x:c r="C1168" s="26"/>
      <x:c r="D1168" s="26"/>
      <x:c r="E1168" s="26"/>
      <x:c r="F1168" s="26"/>
      <x:c r="G1168" s="26"/>
      <x:c r="H1168" s="26"/>
      <x:c r="I1168" s="26"/>
      <x:c r="J1168" s="26"/>
      <x:c r="K1168" s="26"/>
      <x:c r="L1168" s="26"/>
    </x:row>
    <x:row r="1169">
      <x:c r="A1169" s="26"/>
      <x:c r="B1169" s="26"/>
      <x:c r="C1169" s="26"/>
      <x:c r="D1169" s="26"/>
      <x:c r="E1169" s="26"/>
      <x:c r="F1169" s="26"/>
      <x:c r="G1169" s="26"/>
      <x:c r="H1169" s="26"/>
      <x:c r="I1169" s="26"/>
      <x:c r="J1169" s="26"/>
      <x:c r="K1169" s="26"/>
      <x:c r="L1169" s="26"/>
    </x:row>
    <x:row r="1170">
      <x:c r="A1170" s="26"/>
      <x:c r="B1170" s="26"/>
      <x:c r="C1170" s="26"/>
      <x:c r="D1170" s="26"/>
      <x:c r="E1170" s="26"/>
      <x:c r="F1170" s="26"/>
      <x:c r="G1170" s="26"/>
      <x:c r="H1170" s="26"/>
      <x:c r="I1170" s="26"/>
      <x:c r="J1170" s="26"/>
      <x:c r="K1170" s="26"/>
      <x:c r="L1170" s="26"/>
    </x:row>
    <x:row r="1171">
      <x:c r="A1171" s="26"/>
      <x:c r="B1171" s="26"/>
      <x:c r="C1171" s="26"/>
      <x:c r="D1171" s="26"/>
      <x:c r="E1171" s="26"/>
      <x:c r="F1171" s="26"/>
      <x:c r="G1171" s="26"/>
      <x:c r="H1171" s="26"/>
      <x:c r="I1171" s="26"/>
      <x:c r="J1171" s="26"/>
      <x:c r="K1171" s="26"/>
      <x:c r="L1171" s="26"/>
    </x:row>
    <x:row r="1172">
      <x:c r="A1172" s="26"/>
      <x:c r="B1172" s="26"/>
      <x:c r="C1172" s="26"/>
      <x:c r="D1172" s="26"/>
      <x:c r="E1172" s="26"/>
      <x:c r="F1172" s="26"/>
      <x:c r="G1172" s="26"/>
      <x:c r="H1172" s="26"/>
      <x:c r="I1172" s="26"/>
      <x:c r="J1172" s="26"/>
      <x:c r="K1172" s="26"/>
      <x:c r="L1172" s="26"/>
    </x:row>
    <x:row r="1173">
      <x:c r="A1173" s="26"/>
      <x:c r="B1173" s="26"/>
      <x:c r="C1173" s="26"/>
      <x:c r="D1173" s="26"/>
      <x:c r="E1173" s="26"/>
      <x:c r="F1173" s="26"/>
      <x:c r="G1173" s="26"/>
      <x:c r="H1173" s="26"/>
      <x:c r="I1173" s="26"/>
      <x:c r="J1173" s="26"/>
      <x:c r="K1173" s="26"/>
      <x:c r="L1173" s="26"/>
    </x:row>
    <x:row r="1174">
      <x:c r="A1174" s="26"/>
      <x:c r="B1174" s="26"/>
      <x:c r="C1174" s="26"/>
      <x:c r="D1174" s="26"/>
      <x:c r="E1174" s="26"/>
      <x:c r="F1174" s="26"/>
      <x:c r="G1174" s="26"/>
      <x:c r="H1174" s="26"/>
      <x:c r="I1174" s="26"/>
      <x:c r="J1174" s="26"/>
      <x:c r="K1174" s="26"/>
      <x:c r="L1174" s="26"/>
    </x:row>
    <x:row r="1175">
      <x:c r="A1175" s="26"/>
      <x:c r="B1175" s="26"/>
      <x:c r="C1175" s="26"/>
      <x:c r="D1175" s="26"/>
      <x:c r="E1175" s="26"/>
      <x:c r="F1175" s="26"/>
      <x:c r="G1175" s="26"/>
      <x:c r="H1175" s="26"/>
      <x:c r="I1175" s="26"/>
      <x:c r="J1175" s="26"/>
      <x:c r="K1175" s="26"/>
      <x:c r="L1175" s="26"/>
    </x:row>
    <x:row r="1176">
      <x:c r="A1176" s="26"/>
      <x:c r="B1176" s="26"/>
      <x:c r="C1176" s="26"/>
      <x:c r="D1176" s="26"/>
      <x:c r="E1176" s="26"/>
      <x:c r="F1176" s="26"/>
      <x:c r="G1176" s="26"/>
      <x:c r="H1176" s="26"/>
      <x:c r="I1176" s="26"/>
      <x:c r="J1176" s="26"/>
      <x:c r="K1176" s="26"/>
      <x:c r="L1176" s="26"/>
    </x:row>
    <x:row r="1177">
      <x:c r="A1177" s="26"/>
      <x:c r="B1177" s="26"/>
      <x:c r="C1177" s="26"/>
      <x:c r="D1177" s="26"/>
      <x:c r="E1177" s="26"/>
      <x:c r="F1177" s="26"/>
      <x:c r="G1177" s="26"/>
      <x:c r="H1177" s="26"/>
      <x:c r="I1177" s="26"/>
      <x:c r="J1177" s="26"/>
      <x:c r="K1177" s="26"/>
      <x:c r="L1177" s="26"/>
    </x:row>
    <x:row r="1178">
      <x:c r="A1178" s="26"/>
      <x:c r="B1178" s="26"/>
      <x:c r="C1178" s="26"/>
      <x:c r="D1178" s="26"/>
      <x:c r="E1178" s="26"/>
      <x:c r="F1178" s="26"/>
      <x:c r="G1178" s="26"/>
      <x:c r="H1178" s="26"/>
      <x:c r="I1178" s="26"/>
      <x:c r="J1178" s="26"/>
      <x:c r="K1178" s="26"/>
      <x:c r="L1178" s="26"/>
    </x:row>
    <x:row r="1179">
      <x:c r="A1179" s="26"/>
      <x:c r="B1179" s="26"/>
      <x:c r="C1179" s="26"/>
      <x:c r="D1179" s="26"/>
      <x:c r="E1179" s="26"/>
      <x:c r="F1179" s="26"/>
      <x:c r="G1179" s="26"/>
      <x:c r="H1179" s="26"/>
      <x:c r="I1179" s="26"/>
      <x:c r="J1179" s="26"/>
      <x:c r="K1179" s="26"/>
      <x:c r="L1179" s="26"/>
    </x:row>
    <x:row r="1180">
      <x:c r="A1180" s="26"/>
      <x:c r="B1180" s="26"/>
      <x:c r="C1180" s="26"/>
      <x:c r="D1180" s="26"/>
      <x:c r="E1180" s="26"/>
      <x:c r="F1180" s="26"/>
      <x:c r="G1180" s="26"/>
      <x:c r="H1180" s="26"/>
      <x:c r="I1180" s="26"/>
      <x:c r="J1180" s="26"/>
      <x:c r="K1180" s="26"/>
      <x:c r="L1180" s="26"/>
    </x:row>
    <x:row r="1181">
      <x:c r="A1181" s="26"/>
      <x:c r="B1181" s="26"/>
      <x:c r="C1181" s="26"/>
      <x:c r="D1181" s="26"/>
      <x:c r="E1181" s="26"/>
      <x:c r="F1181" s="26"/>
      <x:c r="G1181" s="26"/>
      <x:c r="H1181" s="26"/>
      <x:c r="I1181" s="26"/>
      <x:c r="J1181" s="26"/>
      <x:c r="K1181" s="26"/>
      <x:c r="L1181" s="26"/>
    </x:row>
    <x:row r="1182">
      <x:c r="A1182" s="26"/>
      <x:c r="B1182" s="26"/>
      <x:c r="C1182" s="26"/>
      <x:c r="D1182" s="26"/>
      <x:c r="E1182" s="26"/>
      <x:c r="F1182" s="26"/>
      <x:c r="G1182" s="26"/>
      <x:c r="H1182" s="26"/>
      <x:c r="I1182" s="26"/>
      <x:c r="J1182" s="26"/>
      <x:c r="K1182" s="26"/>
      <x:c r="L1182" s="26"/>
    </x:row>
    <x:row r="1183">
      <x:c r="A1183" s="26"/>
      <x:c r="B1183" s="26"/>
      <x:c r="C1183" s="26"/>
      <x:c r="D1183" s="26"/>
      <x:c r="E1183" s="26"/>
      <x:c r="F1183" s="26"/>
      <x:c r="G1183" s="26"/>
      <x:c r="H1183" s="26"/>
      <x:c r="I1183" s="26"/>
      <x:c r="J1183" s="26"/>
      <x:c r="K1183" s="26"/>
      <x:c r="L1183" s="26"/>
    </x:row>
    <x:row r="1184">
      <x:c r="A1184" s="26"/>
      <x:c r="B1184" s="26"/>
      <x:c r="C1184" s="26"/>
      <x:c r="D1184" s="26"/>
      <x:c r="E1184" s="26"/>
      <x:c r="F1184" s="26"/>
      <x:c r="G1184" s="26"/>
      <x:c r="H1184" s="26"/>
      <x:c r="I1184" s="26"/>
      <x:c r="J1184" s="26"/>
      <x:c r="K1184" s="26"/>
      <x:c r="L1184" s="26"/>
    </x:row>
    <x:row r="1185">
      <x:c r="A1185" s="26"/>
      <x:c r="B1185" s="26"/>
      <x:c r="C1185" s="26"/>
      <x:c r="D1185" s="26"/>
      <x:c r="E1185" s="26"/>
      <x:c r="F1185" s="26"/>
      <x:c r="G1185" s="26"/>
      <x:c r="H1185" s="26"/>
      <x:c r="I1185" s="26"/>
      <x:c r="J1185" s="26"/>
      <x:c r="K1185" s="26"/>
      <x:c r="L1185" s="26"/>
    </x:row>
    <x:row r="1186">
      <x:c r="A1186" s="26"/>
      <x:c r="B1186" s="26"/>
      <x:c r="C1186" s="26"/>
      <x:c r="D1186" s="26"/>
      <x:c r="E1186" s="26"/>
      <x:c r="F1186" s="26"/>
      <x:c r="G1186" s="26"/>
      <x:c r="H1186" s="26"/>
      <x:c r="I1186" s="26"/>
      <x:c r="J1186" s="26"/>
      <x:c r="K1186" s="26"/>
      <x:c r="L1186" s="26"/>
    </x:row>
    <x:row r="1187">
      <x:c r="A1187" s="26"/>
      <x:c r="B1187" s="26"/>
      <x:c r="C1187" s="26"/>
      <x:c r="D1187" s="26"/>
      <x:c r="E1187" s="26"/>
      <x:c r="F1187" s="26"/>
      <x:c r="G1187" s="26"/>
      <x:c r="H1187" s="26"/>
      <x:c r="I1187" s="26"/>
      <x:c r="J1187" s="26"/>
      <x:c r="K1187" s="26"/>
      <x:c r="L1187" s="26"/>
    </x:row>
    <x:row r="1188">
      <x:c r="A1188" s="26"/>
      <x:c r="B1188" s="26"/>
      <x:c r="C1188" s="26"/>
      <x:c r="D1188" s="26"/>
      <x:c r="E1188" s="26"/>
      <x:c r="F1188" s="26"/>
      <x:c r="G1188" s="26"/>
      <x:c r="H1188" s="26"/>
      <x:c r="I1188" s="26"/>
      <x:c r="J1188" s="26"/>
      <x:c r="K1188" s="26"/>
      <x:c r="L1188" s="26"/>
    </x:row>
    <x:row r="1189">
      <x:c r="A1189" s="26"/>
      <x:c r="B1189" s="26"/>
      <x:c r="C1189" s="26"/>
      <x:c r="D1189" s="26"/>
      <x:c r="E1189" s="26"/>
      <x:c r="F1189" s="26"/>
      <x:c r="G1189" s="26"/>
      <x:c r="H1189" s="26"/>
      <x:c r="I1189" s="26"/>
      <x:c r="J1189" s="26"/>
      <x:c r="K1189" s="26"/>
      <x:c r="L1189" s="26"/>
    </x:row>
    <x:row r="1190">
      <x:c r="A1190" s="26"/>
      <x:c r="B1190" s="26"/>
      <x:c r="C1190" s="26"/>
      <x:c r="D1190" s="26"/>
      <x:c r="E1190" s="26"/>
      <x:c r="F1190" s="26"/>
      <x:c r="G1190" s="26"/>
      <x:c r="H1190" s="26"/>
      <x:c r="I1190" s="26"/>
      <x:c r="J1190" s="26"/>
      <x:c r="K1190" s="26"/>
      <x:c r="L1190" s="26"/>
    </x:row>
    <x:row r="1191">
      <x:c r="A1191" s="26"/>
      <x:c r="B1191" s="26"/>
      <x:c r="C1191" s="26"/>
      <x:c r="D1191" s="26"/>
      <x:c r="E1191" s="26"/>
      <x:c r="F1191" s="26"/>
      <x:c r="G1191" s="26"/>
      <x:c r="H1191" s="26"/>
      <x:c r="I1191" s="26"/>
      <x:c r="J1191" s="26"/>
      <x:c r="K1191" s="26"/>
      <x:c r="L1191" s="26"/>
    </x:row>
    <x:row r="1192">
      <x:c r="A1192" s="26"/>
      <x:c r="B1192" s="26"/>
      <x:c r="C1192" s="26"/>
      <x:c r="D1192" s="26"/>
      <x:c r="E1192" s="26"/>
      <x:c r="F1192" s="26"/>
      <x:c r="G1192" s="26"/>
      <x:c r="H1192" s="26"/>
      <x:c r="I1192" s="26"/>
      <x:c r="J1192" s="26"/>
      <x:c r="K1192" s="26"/>
      <x:c r="L1192" s="26"/>
    </x:row>
    <x:row r="1193">
      <x:c r="A1193" s="26"/>
      <x:c r="B1193" s="26"/>
      <x:c r="C1193" s="26"/>
      <x:c r="D1193" s="26"/>
      <x:c r="E1193" s="26"/>
      <x:c r="F1193" s="26"/>
      <x:c r="G1193" s="26"/>
      <x:c r="H1193" s="26"/>
      <x:c r="I1193" s="26"/>
      <x:c r="J1193" s="26"/>
      <x:c r="K1193" s="26"/>
      <x:c r="L1193" s="26"/>
    </x:row>
    <x:row r="1194">
      <x:c r="A1194" s="26"/>
      <x:c r="B1194" s="26"/>
      <x:c r="C1194" s="26"/>
      <x:c r="D1194" s="26"/>
      <x:c r="E1194" s="26"/>
      <x:c r="F1194" s="26"/>
      <x:c r="G1194" s="26"/>
      <x:c r="H1194" s="26"/>
      <x:c r="I1194" s="26"/>
      <x:c r="J1194" s="26"/>
      <x:c r="K1194" s="26"/>
      <x:c r="L1194" s="26"/>
    </x:row>
    <x:row r="1195">
      <x:c r="A1195" s="26"/>
      <x:c r="B1195" s="26"/>
      <x:c r="C1195" s="26"/>
      <x:c r="D1195" s="26"/>
      <x:c r="E1195" s="26"/>
      <x:c r="F1195" s="26"/>
      <x:c r="G1195" s="26"/>
      <x:c r="H1195" s="26"/>
      <x:c r="I1195" s="26"/>
      <x:c r="J1195" s="26"/>
      <x:c r="K1195" s="26"/>
      <x:c r="L1195" s="26"/>
    </x:row>
    <x:row r="1196">
      <x:c r="A1196" s="26"/>
      <x:c r="B1196" s="26"/>
      <x:c r="C1196" s="26"/>
      <x:c r="D1196" s="26"/>
      <x:c r="E1196" s="26"/>
      <x:c r="F1196" s="26"/>
      <x:c r="G1196" s="26"/>
      <x:c r="H1196" s="26"/>
      <x:c r="I1196" s="26"/>
      <x:c r="J1196" s="26"/>
      <x:c r="K1196" s="26"/>
      <x:c r="L1196" s="26"/>
    </x:row>
    <x:row r="1197">
      <x:c r="A1197" s="26"/>
      <x:c r="B1197" s="26"/>
      <x:c r="C1197" s="26"/>
      <x:c r="D1197" s="26"/>
      <x:c r="E1197" s="26"/>
      <x:c r="F1197" s="26"/>
      <x:c r="G1197" s="26"/>
      <x:c r="H1197" s="26"/>
      <x:c r="I1197" s="26"/>
      <x:c r="J1197" s="26"/>
      <x:c r="K1197" s="26"/>
      <x:c r="L1197" s="26"/>
    </x:row>
    <x:row r="1198">
      <x:c r="A1198" s="26"/>
      <x:c r="B1198" s="26"/>
      <x:c r="C1198" s="26"/>
      <x:c r="D1198" s="26"/>
      <x:c r="E1198" s="26"/>
      <x:c r="F1198" s="26"/>
      <x:c r="G1198" s="26"/>
      <x:c r="H1198" s="26"/>
      <x:c r="I1198" s="26"/>
      <x:c r="J1198" s="26"/>
      <x:c r="K1198" s="26"/>
      <x:c r="L1198" s="26"/>
    </x:row>
    <x:row r="1199">
      <x:c r="A1199" s="26"/>
      <x:c r="B1199" s="26"/>
      <x:c r="C1199" s="26"/>
      <x:c r="D1199" s="26"/>
      <x:c r="E1199" s="26"/>
      <x:c r="F1199" s="26"/>
      <x:c r="G1199" s="26"/>
      <x:c r="H1199" s="26"/>
      <x:c r="I1199" s="26"/>
      <x:c r="J1199" s="26"/>
      <x:c r="K1199" s="26"/>
      <x:c r="L1199" s="26"/>
    </x:row>
    <x:row r="1200">
      <x:c r="A1200" s="26"/>
      <x:c r="B1200" s="26"/>
      <x:c r="C1200" s="26"/>
      <x:c r="D1200" s="26"/>
      <x:c r="E1200" s="26"/>
      <x:c r="F1200" s="26"/>
      <x:c r="G1200" s="26"/>
      <x:c r="H1200" s="26"/>
      <x:c r="I1200" s="26"/>
      <x:c r="J1200" s="26"/>
      <x:c r="K1200" s="26"/>
      <x:c r="L1200" s="26"/>
    </x:row>
    <x:row r="1201">
      <x:c r="A1201" s="26"/>
      <x:c r="B1201" s="26"/>
      <x:c r="C1201" s="26"/>
      <x:c r="D1201" s="26"/>
      <x:c r="E1201" s="26"/>
      <x:c r="F1201" s="26"/>
      <x:c r="G1201" s="26"/>
      <x:c r="H1201" s="26"/>
      <x:c r="I1201" s="26"/>
      <x:c r="J1201" s="26"/>
      <x:c r="K1201" s="26"/>
      <x:c r="L1201" s="26"/>
    </x:row>
    <x:row r="1202">
      <x:c r="A1202" s="26"/>
      <x:c r="B1202" s="26"/>
      <x:c r="C1202" s="26"/>
      <x:c r="D1202" s="26"/>
      <x:c r="E1202" s="26"/>
      <x:c r="F1202" s="26"/>
      <x:c r="G1202" s="26"/>
      <x:c r="H1202" s="26"/>
      <x:c r="I1202" s="26"/>
      <x:c r="J1202" s="26"/>
      <x:c r="K1202" s="26"/>
      <x:c r="L1202" s="26"/>
    </x:row>
    <x:row r="1203">
      <x:c r="A1203" s="26"/>
      <x:c r="B1203" s="26"/>
      <x:c r="C1203" s="26"/>
      <x:c r="D1203" s="26"/>
      <x:c r="E1203" s="26"/>
      <x:c r="F1203" s="26"/>
      <x:c r="G1203" s="26"/>
      <x:c r="H1203" s="26"/>
      <x:c r="I1203" s="26"/>
      <x:c r="J1203" s="26"/>
      <x:c r="K1203" s="26"/>
      <x:c r="L1203" s="26"/>
    </x:row>
    <x:row r="1204">
      <x:c r="A1204" s="26"/>
      <x:c r="B1204" s="26"/>
      <x:c r="C1204" s="26"/>
      <x:c r="D1204" s="26"/>
      <x:c r="E1204" s="26"/>
      <x:c r="F1204" s="26"/>
      <x:c r="G1204" s="26"/>
      <x:c r="H1204" s="26"/>
      <x:c r="I1204" s="26"/>
      <x:c r="J1204" s="26"/>
      <x:c r="K1204" s="26"/>
      <x:c r="L1204" s="26"/>
    </x:row>
    <x:row r="1205">
      <x:c r="A1205" s="26"/>
      <x:c r="B1205" s="26"/>
      <x:c r="C1205" s="26"/>
      <x:c r="D1205" s="26"/>
      <x:c r="E1205" s="26"/>
      <x:c r="F1205" s="26"/>
      <x:c r="G1205" s="26"/>
      <x:c r="H1205" s="26"/>
      <x:c r="I1205" s="26"/>
      <x:c r="J1205" s="26"/>
      <x:c r="K1205" s="26"/>
      <x:c r="L1205" s="26"/>
    </x:row>
    <x:row r="1206">
      <x:c r="A1206" s="26"/>
      <x:c r="B1206" s="26"/>
      <x:c r="C1206" s="26"/>
      <x:c r="D1206" s="26"/>
      <x:c r="E1206" s="26"/>
      <x:c r="F1206" s="26"/>
      <x:c r="G1206" s="26"/>
      <x:c r="H1206" s="26"/>
      <x:c r="I1206" s="26"/>
      <x:c r="J1206" s="26"/>
      <x:c r="K1206" s="26"/>
      <x:c r="L1206" s="26"/>
    </x:row>
    <x:row r="1207">
      <x:c r="A1207" s="26"/>
      <x:c r="B1207" s="26"/>
      <x:c r="C1207" s="26"/>
      <x:c r="D1207" s="26"/>
      <x:c r="E1207" s="26"/>
      <x:c r="F1207" s="26"/>
      <x:c r="G1207" s="26"/>
      <x:c r="H1207" s="26"/>
      <x:c r="I1207" s="26"/>
      <x:c r="J1207" s="26"/>
      <x:c r="K1207" s="26"/>
      <x:c r="L1207" s="26"/>
    </x:row>
    <x:row r="1208">
      <x:c r="A1208" s="26"/>
      <x:c r="B1208" s="26"/>
      <x:c r="C1208" s="26"/>
      <x:c r="D1208" s="26"/>
      <x:c r="E1208" s="26"/>
      <x:c r="F1208" s="26"/>
      <x:c r="G1208" s="26"/>
      <x:c r="H1208" s="26"/>
      <x:c r="I1208" s="26"/>
      <x:c r="J1208" s="26"/>
      <x:c r="K1208" s="26"/>
      <x:c r="L1208" s="26"/>
    </x:row>
    <x:row r="1209">
      <x:c r="A1209" s="26"/>
      <x:c r="B1209" s="26"/>
      <x:c r="C1209" s="26"/>
      <x:c r="D1209" s="26"/>
      <x:c r="E1209" s="26"/>
      <x:c r="F1209" s="26"/>
      <x:c r="G1209" s="26"/>
      <x:c r="H1209" s="26"/>
      <x:c r="I1209" s="26"/>
      <x:c r="J1209" s="26"/>
      <x:c r="K1209" s="26"/>
      <x:c r="L1209" s="26"/>
    </x:row>
    <x:row r="1210">
      <x:c r="A1210" s="26"/>
      <x:c r="B1210" s="26"/>
      <x:c r="C1210" s="26"/>
      <x:c r="D1210" s="26"/>
      <x:c r="E1210" s="26"/>
      <x:c r="F1210" s="26"/>
      <x:c r="G1210" s="26"/>
      <x:c r="H1210" s="26"/>
      <x:c r="I1210" s="26"/>
      <x:c r="J1210" s="26"/>
      <x:c r="K1210" s="26"/>
      <x:c r="L1210" s="26"/>
    </x:row>
    <x:row r="1211">
      <x:c r="A1211" s="26"/>
      <x:c r="B1211" s="26"/>
      <x:c r="C1211" s="26"/>
      <x:c r="D1211" s="26"/>
      <x:c r="E1211" s="26"/>
      <x:c r="F1211" s="26"/>
      <x:c r="G1211" s="26"/>
      <x:c r="H1211" s="26"/>
      <x:c r="I1211" s="26"/>
      <x:c r="J1211" s="26"/>
      <x:c r="K1211" s="26"/>
      <x:c r="L1211" s="26"/>
    </x:row>
    <x:row r="1212">
      <x:c r="A1212" s="26"/>
      <x:c r="B1212" s="26"/>
      <x:c r="C1212" s="26"/>
      <x:c r="D1212" s="26"/>
      <x:c r="E1212" s="26"/>
      <x:c r="F1212" s="26"/>
      <x:c r="G1212" s="26"/>
      <x:c r="H1212" s="26"/>
      <x:c r="I1212" s="26"/>
      <x:c r="J1212" s="26"/>
      <x:c r="K1212" s="26"/>
      <x:c r="L1212" s="26"/>
    </x:row>
    <x:row r="1213">
      <x:c r="A1213" s="26"/>
      <x:c r="B1213" s="26"/>
      <x:c r="C1213" s="26"/>
      <x:c r="D1213" s="26"/>
      <x:c r="E1213" s="26"/>
      <x:c r="F1213" s="26"/>
      <x:c r="G1213" s="26"/>
      <x:c r="H1213" s="26"/>
      <x:c r="I1213" s="26"/>
      <x:c r="J1213" s="26"/>
      <x:c r="K1213" s="26"/>
      <x:c r="L1213" s="26"/>
    </x:row>
    <x:row r="1214">
      <x:c r="A1214" s="26"/>
      <x:c r="B1214" s="26"/>
      <x:c r="C1214" s="26"/>
      <x:c r="D1214" s="26"/>
      <x:c r="E1214" s="26"/>
      <x:c r="F1214" s="26"/>
      <x:c r="G1214" s="26"/>
      <x:c r="H1214" s="26"/>
      <x:c r="I1214" s="26"/>
      <x:c r="J1214" s="26"/>
      <x:c r="K1214" s="26"/>
      <x:c r="L1214" s="26"/>
    </x:row>
    <x:row r="1215">
      <x:c r="A1215" s="26"/>
      <x:c r="B1215" s="26"/>
      <x:c r="C1215" s="26"/>
      <x:c r="D1215" s="26"/>
      <x:c r="E1215" s="26"/>
      <x:c r="F1215" s="26"/>
      <x:c r="G1215" s="26"/>
      <x:c r="H1215" s="26"/>
      <x:c r="I1215" s="26"/>
      <x:c r="J1215" s="26"/>
      <x:c r="K1215" s="26"/>
      <x:c r="L1215" s="26"/>
    </x:row>
    <x:row r="1216">
      <x:c r="A1216" s="26"/>
      <x:c r="B1216" s="26"/>
      <x:c r="C1216" s="26"/>
      <x:c r="D1216" s="26"/>
      <x:c r="E1216" s="26"/>
      <x:c r="F1216" s="26"/>
      <x:c r="G1216" s="26"/>
      <x:c r="H1216" s="26"/>
      <x:c r="I1216" s="26"/>
      <x:c r="J1216" s="26"/>
      <x:c r="K1216" s="26"/>
      <x:c r="L1216" s="26"/>
    </x:row>
    <x:row r="1217">
      <x:c r="A1217" s="26"/>
      <x:c r="B1217" s="26"/>
      <x:c r="C1217" s="26"/>
      <x:c r="D1217" s="26"/>
      <x:c r="E1217" s="26"/>
      <x:c r="F1217" s="26"/>
      <x:c r="G1217" s="26"/>
      <x:c r="H1217" s="26"/>
      <x:c r="I1217" s="26"/>
      <x:c r="J1217" s="26"/>
      <x:c r="K1217" s="26"/>
      <x:c r="L1217" s="26"/>
    </x:row>
    <x:row r="1218">
      <x:c r="A1218" s="26"/>
      <x:c r="B1218" s="26"/>
      <x:c r="C1218" s="26"/>
      <x:c r="D1218" s="26"/>
      <x:c r="E1218" s="26"/>
      <x:c r="F1218" s="26"/>
      <x:c r="G1218" s="26"/>
      <x:c r="H1218" s="26"/>
      <x:c r="I1218" s="26"/>
      <x:c r="J1218" s="26"/>
      <x:c r="K1218" s="26"/>
      <x:c r="L1218" s="26"/>
    </x:row>
    <x:row r="1219">
      <x:c r="A1219" s="26"/>
      <x:c r="B1219" s="26"/>
      <x:c r="C1219" s="26"/>
      <x:c r="D1219" s="26"/>
      <x:c r="E1219" s="26"/>
      <x:c r="F1219" s="26"/>
      <x:c r="G1219" s="26"/>
      <x:c r="H1219" s="26"/>
      <x:c r="I1219" s="26"/>
      <x:c r="J1219" s="26"/>
      <x:c r="K1219" s="26"/>
      <x:c r="L1219" s="26"/>
    </x:row>
    <x:row r="1220">
      <x:c r="A1220" s="26"/>
      <x:c r="B1220" s="26"/>
      <x:c r="C1220" s="26"/>
      <x:c r="D1220" s="26"/>
      <x:c r="E1220" s="26"/>
      <x:c r="F1220" s="26"/>
      <x:c r="G1220" s="26"/>
      <x:c r="H1220" s="26"/>
      <x:c r="I1220" s="26"/>
      <x:c r="J1220" s="26"/>
      <x:c r="K1220" s="26"/>
      <x:c r="L1220" s="26"/>
    </x:row>
    <x:row r="1221">
      <x:c r="A1221" s="26"/>
      <x:c r="B1221" s="26"/>
      <x:c r="C1221" s="26"/>
      <x:c r="D1221" s="26"/>
      <x:c r="E1221" s="26"/>
      <x:c r="F1221" s="26"/>
      <x:c r="G1221" s="26"/>
      <x:c r="H1221" s="26"/>
      <x:c r="I1221" s="26"/>
      <x:c r="J1221" s="26"/>
      <x:c r="K1221" s="26"/>
      <x:c r="L1221" s="26"/>
    </x:row>
    <x:row r="1222">
      <x:c r="A1222" s="26"/>
      <x:c r="B1222" s="26"/>
      <x:c r="C1222" s="26"/>
      <x:c r="D1222" s="26"/>
      <x:c r="E1222" s="26"/>
      <x:c r="F1222" s="26"/>
      <x:c r="G1222" s="26"/>
      <x:c r="H1222" s="26"/>
      <x:c r="I1222" s="26"/>
      <x:c r="J1222" s="26"/>
      <x:c r="K1222" s="26"/>
      <x:c r="L1222" s="26"/>
    </x:row>
    <x:row r="1223">
      <x:c r="A1223" s="26"/>
      <x:c r="B1223" s="26"/>
      <x:c r="C1223" s="26"/>
      <x:c r="D1223" s="26"/>
      <x:c r="E1223" s="26"/>
      <x:c r="F1223" s="26"/>
      <x:c r="G1223" s="26"/>
      <x:c r="H1223" s="26"/>
      <x:c r="I1223" s="26"/>
      <x:c r="J1223" s="26"/>
      <x:c r="K1223" s="26"/>
      <x:c r="L1223" s="26"/>
    </x:row>
    <x:row r="1224">
      <x:c r="A1224" s="26"/>
      <x:c r="B1224" s="26"/>
      <x:c r="C1224" s="26"/>
      <x:c r="D1224" s="26"/>
      <x:c r="E1224" s="26"/>
      <x:c r="F1224" s="26"/>
      <x:c r="G1224" s="26"/>
      <x:c r="H1224" s="26"/>
      <x:c r="I1224" s="26"/>
      <x:c r="J1224" s="26"/>
      <x:c r="K1224" s="26"/>
      <x:c r="L1224" s="26"/>
    </x:row>
    <x:row r="1225">
      <x:c r="A1225" s="26"/>
      <x:c r="B1225" s="26"/>
      <x:c r="C1225" s="26"/>
      <x:c r="D1225" s="26"/>
      <x:c r="E1225" s="26"/>
      <x:c r="F1225" s="26"/>
      <x:c r="G1225" s="26"/>
      <x:c r="H1225" s="26"/>
      <x:c r="I1225" s="26"/>
      <x:c r="J1225" s="26"/>
      <x:c r="K1225" s="26"/>
      <x:c r="L1225" s="26"/>
    </x:row>
    <x:row r="1226">
      <x:c r="A1226" s="26"/>
      <x:c r="B1226" s="26"/>
      <x:c r="C1226" s="26"/>
      <x:c r="D1226" s="26"/>
      <x:c r="E1226" s="26"/>
      <x:c r="F1226" s="26"/>
      <x:c r="G1226" s="26"/>
      <x:c r="H1226" s="26"/>
      <x:c r="I1226" s="26"/>
      <x:c r="J1226" s="26"/>
      <x:c r="K1226" s="26"/>
      <x:c r="L1226" s="26"/>
    </x:row>
    <x:row r="1227">
      <x:c r="A1227" s="26"/>
      <x:c r="B1227" s="26"/>
      <x:c r="C1227" s="26"/>
      <x:c r="D1227" s="26"/>
      <x:c r="E1227" s="26"/>
      <x:c r="F1227" s="26"/>
      <x:c r="G1227" s="26"/>
      <x:c r="H1227" s="26"/>
      <x:c r="I1227" s="26"/>
      <x:c r="J1227" s="26"/>
      <x:c r="K1227" s="26"/>
      <x:c r="L1227" s="26"/>
    </x:row>
    <x:row r="1228">
      <x:c r="A1228" s="26"/>
      <x:c r="B1228" s="26"/>
      <x:c r="C1228" s="26"/>
      <x:c r="D1228" s="26"/>
      <x:c r="E1228" s="26"/>
      <x:c r="F1228" s="26"/>
      <x:c r="G1228" s="26"/>
      <x:c r="H1228" s="26"/>
      <x:c r="I1228" s="26"/>
      <x:c r="J1228" s="26"/>
      <x:c r="K1228" s="26"/>
      <x:c r="L1228" s="26"/>
    </x:row>
    <x:row r="1229">
      <x:c r="A1229" s="26"/>
      <x:c r="B1229" s="26"/>
      <x:c r="C1229" s="26"/>
      <x:c r="D1229" s="26"/>
      <x:c r="E1229" s="26"/>
      <x:c r="F1229" s="26"/>
      <x:c r="G1229" s="26"/>
      <x:c r="H1229" s="26"/>
      <x:c r="I1229" s="26"/>
      <x:c r="J1229" s="26"/>
      <x:c r="K1229" s="26"/>
      <x:c r="L1229" s="26"/>
    </x:row>
    <x:row r="1230">
      <x:c r="A1230" s="26"/>
      <x:c r="B1230" s="26"/>
      <x:c r="C1230" s="26"/>
      <x:c r="D1230" s="26"/>
      <x:c r="E1230" s="26"/>
      <x:c r="F1230" s="26"/>
      <x:c r="G1230" s="26"/>
      <x:c r="H1230" s="26"/>
      <x:c r="I1230" s="26"/>
      <x:c r="J1230" s="26"/>
      <x:c r="K1230" s="26"/>
      <x:c r="L1230" s="26"/>
    </x:row>
    <x:row r="1231">
      <x:c r="A1231" s="26"/>
      <x:c r="B1231" s="26"/>
      <x:c r="C1231" s="26"/>
      <x:c r="D1231" s="26"/>
      <x:c r="E1231" s="26"/>
      <x:c r="F1231" s="26"/>
      <x:c r="G1231" s="26"/>
      <x:c r="H1231" s="26"/>
      <x:c r="I1231" s="26"/>
      <x:c r="J1231" s="26"/>
      <x:c r="K1231" s="26"/>
      <x:c r="L1231" s="26"/>
    </x:row>
    <x:row r="1232">
      <x:c r="A1232" s="26"/>
      <x:c r="B1232" s="26"/>
      <x:c r="C1232" s="26"/>
      <x:c r="D1232" s="26"/>
      <x:c r="E1232" s="26"/>
      <x:c r="F1232" s="26"/>
      <x:c r="G1232" s="26"/>
      <x:c r="H1232" s="26"/>
      <x:c r="I1232" s="26"/>
      <x:c r="J1232" s="26"/>
      <x:c r="K1232" s="26"/>
      <x:c r="L1232" s="26"/>
    </x:row>
    <x:row r="1233">
      <x:c r="A1233" s="26"/>
      <x:c r="B1233" s="26"/>
      <x:c r="C1233" s="26"/>
      <x:c r="D1233" s="26"/>
      <x:c r="E1233" s="26"/>
      <x:c r="F1233" s="26"/>
      <x:c r="G1233" s="26"/>
      <x:c r="H1233" s="26"/>
      <x:c r="I1233" s="26"/>
      <x:c r="J1233" s="26"/>
      <x:c r="K1233" s="26"/>
      <x:c r="L1233" s="26"/>
    </x:row>
    <x:row r="1234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</x:row>
    <x:row r="1235">
      <x:c r="A1235" s="26"/>
      <x:c r="B1235" s="26"/>
      <x:c r="C1235" s="26"/>
      <x:c r="D1235" s="26"/>
      <x:c r="E1235" s="26"/>
      <x:c r="F1235" s="26"/>
      <x:c r="G1235" s="26"/>
      <x:c r="H1235" s="26"/>
      <x:c r="I1235" s="26"/>
      <x:c r="J1235" s="26"/>
      <x:c r="K1235" s="26"/>
      <x:c r="L1235" s="26"/>
    </x:row>
    <x:row r="1236">
      <x:c r="A1236" s="26"/>
      <x:c r="B1236" s="26"/>
      <x:c r="C1236" s="26"/>
      <x:c r="D1236" s="26"/>
      <x:c r="E1236" s="26"/>
      <x:c r="F1236" s="26"/>
      <x:c r="G1236" s="26"/>
      <x:c r="H1236" s="26"/>
      <x:c r="I1236" s="26"/>
      <x:c r="J1236" s="26"/>
      <x:c r="K1236" s="26"/>
      <x:c r="L1236" s="26"/>
    </x:row>
    <x:row r="1237">
      <x:c r="A1237" s="26"/>
      <x:c r="B1237" s="26"/>
      <x:c r="C1237" s="26"/>
      <x:c r="D1237" s="26"/>
      <x:c r="E1237" s="26"/>
      <x:c r="F1237" s="26"/>
      <x:c r="G1237" s="26"/>
      <x:c r="H1237" s="26"/>
      <x:c r="I1237" s="26"/>
      <x:c r="J1237" s="26"/>
      <x:c r="K1237" s="26"/>
      <x:c r="L1237" s="26"/>
    </x:row>
    <x:row r="1238">
      <x:c r="A1238" s="26"/>
      <x:c r="B1238" s="26"/>
      <x:c r="C1238" s="26"/>
      <x:c r="D1238" s="26"/>
      <x:c r="E1238" s="26"/>
      <x:c r="F1238" s="26"/>
      <x:c r="G1238" s="26"/>
      <x:c r="H1238" s="26"/>
      <x:c r="I1238" s="26"/>
      <x:c r="J1238" s="26"/>
      <x:c r="K1238" s="26"/>
      <x:c r="L1238" s="26"/>
    </x:row>
    <x:row r="1239">
      <x:c r="A1239" s="26"/>
      <x:c r="B1239" s="26"/>
      <x:c r="C1239" s="26"/>
      <x:c r="D1239" s="26"/>
      <x:c r="E1239" s="26"/>
      <x:c r="F1239" s="26"/>
      <x:c r="G1239" s="26"/>
      <x:c r="H1239" s="26"/>
      <x:c r="I1239" s="26"/>
      <x:c r="J1239" s="26"/>
      <x:c r="K1239" s="26"/>
      <x:c r="L1239" s="26"/>
    </x:row>
    <x:row r="1240">
      <x:c r="A1240" s="26"/>
      <x:c r="B1240" s="26"/>
      <x:c r="C1240" s="26"/>
      <x:c r="D1240" s="26"/>
      <x:c r="E1240" s="26"/>
      <x:c r="F1240" s="26"/>
      <x:c r="G1240" s="26"/>
      <x:c r="H1240" s="26"/>
      <x:c r="I1240" s="26"/>
      <x:c r="J1240" s="26"/>
      <x:c r="K1240" s="26"/>
      <x:c r="L1240" s="26"/>
    </x:row>
    <x:row r="1241">
      <x:c r="A1241" s="26"/>
      <x:c r="B1241" s="26"/>
      <x:c r="C1241" s="26"/>
      <x:c r="D1241" s="26"/>
      <x:c r="E1241" s="26"/>
      <x:c r="F1241" s="26"/>
      <x:c r="G1241" s="26"/>
      <x:c r="H1241" s="26"/>
      <x:c r="I1241" s="26"/>
      <x:c r="J1241" s="26"/>
      <x:c r="K1241" s="26"/>
      <x:c r="L1241" s="26"/>
    </x:row>
    <x:row r="1242">
      <x:c r="A1242" s="26"/>
      <x:c r="B1242" s="26"/>
      <x:c r="C1242" s="26"/>
      <x:c r="D1242" s="26"/>
      <x:c r="E1242" s="26"/>
      <x:c r="F1242" s="26"/>
      <x:c r="G1242" s="26"/>
      <x:c r="H1242" s="26"/>
      <x:c r="I1242" s="26"/>
      <x:c r="J1242" s="26"/>
      <x:c r="K1242" s="26"/>
      <x:c r="L1242" s="26"/>
    </x:row>
    <x:row r="1243">
      <x:c r="A1243" s="26"/>
      <x:c r="B1243" s="26"/>
      <x:c r="C1243" s="26"/>
      <x:c r="D1243" s="26"/>
      <x:c r="E1243" s="26"/>
      <x:c r="F1243" s="26"/>
      <x:c r="G1243" s="26"/>
      <x:c r="H1243" s="26"/>
      <x:c r="I1243" s="26"/>
      <x:c r="J1243" s="26"/>
      <x:c r="K1243" s="26"/>
      <x:c r="L1243" s="26"/>
    </x:row>
    <x:row r="1244">
      <x:c r="A1244" s="26"/>
      <x:c r="B1244" s="26"/>
      <x:c r="C1244" s="26"/>
      <x:c r="D1244" s="26"/>
      <x:c r="E1244" s="26"/>
      <x:c r="F1244" s="26"/>
      <x:c r="G1244" s="26"/>
      <x:c r="H1244" s="26"/>
      <x:c r="I1244" s="26"/>
      <x:c r="J1244" s="26"/>
      <x:c r="K1244" s="26"/>
      <x:c r="L1244" s="26"/>
    </x:row>
    <x:row r="1245">
      <x:c r="A1245" s="26"/>
      <x:c r="B1245" s="26"/>
      <x:c r="C1245" s="26"/>
      <x:c r="D1245" s="26"/>
      <x:c r="E1245" s="26"/>
      <x:c r="F1245" s="26"/>
      <x:c r="G1245" s="26"/>
      <x:c r="H1245" s="26"/>
      <x:c r="I1245" s="26"/>
      <x:c r="J1245" s="26"/>
      <x:c r="K1245" s="26"/>
      <x:c r="L1245" s="26"/>
    </x:row>
    <x:row r="1246">
      <x:c r="A1246" s="26"/>
      <x:c r="B1246" s="26"/>
      <x:c r="C1246" s="26"/>
      <x:c r="D1246" s="26"/>
      <x:c r="E1246" s="26"/>
      <x:c r="F1246" s="26"/>
      <x:c r="G1246" s="26"/>
      <x:c r="H1246" s="26"/>
      <x:c r="I1246" s="26"/>
      <x:c r="J1246" s="26"/>
      <x:c r="K1246" s="26"/>
      <x:c r="L1246" s="26"/>
    </x:row>
    <x:row r="1247">
      <x:c r="A1247" s="26"/>
      <x:c r="B1247" s="26"/>
      <x:c r="C1247" s="26"/>
      <x:c r="D1247" s="26"/>
      <x:c r="E1247" s="26"/>
      <x:c r="F1247" s="26"/>
      <x:c r="G1247" s="26"/>
      <x:c r="H1247" s="26"/>
      <x:c r="I1247" s="26"/>
      <x:c r="J1247" s="26"/>
      <x:c r="K1247" s="26"/>
      <x:c r="L1247" s="26"/>
    </x:row>
    <x:row r="1248">
      <x:c r="A1248" s="26"/>
      <x:c r="B1248" s="26"/>
      <x:c r="C1248" s="26"/>
      <x:c r="D1248" s="26"/>
      <x:c r="E1248" s="26"/>
      <x:c r="F1248" s="26"/>
      <x:c r="G1248" s="26"/>
      <x:c r="H1248" s="26"/>
      <x:c r="I1248" s="26"/>
      <x:c r="J1248" s="26"/>
      <x:c r="K1248" s="26"/>
      <x:c r="L1248" s="26"/>
    </x:row>
    <x:row r="1249">
      <x:c r="A1249" s="26"/>
      <x:c r="B1249" s="26"/>
      <x:c r="C1249" s="26"/>
      <x:c r="D1249" s="26"/>
      <x:c r="E1249" s="26"/>
      <x:c r="F1249" s="26"/>
      <x:c r="G1249" s="26"/>
      <x:c r="H1249" s="26"/>
      <x:c r="I1249" s="26"/>
      <x:c r="J1249" s="26"/>
      <x:c r="K1249" s="26"/>
      <x:c r="L1249" s="26"/>
    </x:row>
    <x:row r="1250">
      <x:c r="A1250" s="26"/>
      <x:c r="B1250" s="26"/>
      <x:c r="C1250" s="26"/>
      <x:c r="D1250" s="26"/>
      <x:c r="E1250" s="26"/>
      <x:c r="F1250" s="26"/>
      <x:c r="G1250" s="26"/>
      <x:c r="H1250" s="26"/>
      <x:c r="I1250" s="26"/>
      <x:c r="J1250" s="26"/>
      <x:c r="K1250" s="26"/>
      <x:c r="L1250" s="26"/>
    </x:row>
    <x:row r="1251">
      <x:c r="A1251" s="26"/>
      <x:c r="B1251" s="26"/>
      <x:c r="C1251" s="26"/>
      <x:c r="D1251" s="26"/>
      <x:c r="E1251" s="26"/>
      <x:c r="F1251" s="26"/>
      <x:c r="G1251" s="26"/>
      <x:c r="H1251" s="26"/>
      <x:c r="I1251" s="26"/>
      <x:c r="J1251" s="26"/>
      <x:c r="K1251" s="26"/>
      <x:c r="L1251" s="26"/>
    </x:row>
    <x:row r="1252">
      <x:c r="A1252" s="26"/>
      <x:c r="B1252" s="26"/>
      <x:c r="C1252" s="26"/>
      <x:c r="D1252" s="26"/>
      <x:c r="E1252" s="26"/>
      <x:c r="F1252" s="26"/>
      <x:c r="G1252" s="26"/>
      <x:c r="H1252" s="26"/>
      <x:c r="I1252" s="26"/>
      <x:c r="J1252" s="26"/>
      <x:c r="K1252" s="26"/>
      <x:c r="L1252" s="26"/>
    </x:row>
    <x:row r="1253">
      <x:c r="A1253" s="26"/>
      <x:c r="B1253" s="26"/>
      <x:c r="C1253" s="26"/>
      <x:c r="D1253" s="26"/>
      <x:c r="E1253" s="26"/>
      <x:c r="F1253" s="26"/>
      <x:c r="G1253" s="26"/>
      <x:c r="H1253" s="26"/>
      <x:c r="I1253" s="26"/>
      <x:c r="J1253" s="26"/>
      <x:c r="K1253" s="26"/>
      <x:c r="L1253" s="26"/>
    </x:row>
    <x:row r="1254">
      <x:c r="A1254" s="26"/>
      <x:c r="B1254" s="26"/>
      <x:c r="C1254" s="26"/>
      <x:c r="D1254" s="26"/>
      <x:c r="E1254" s="26"/>
      <x:c r="F1254" s="26"/>
      <x:c r="G1254" s="26"/>
      <x:c r="H1254" s="26"/>
      <x:c r="I1254" s="26"/>
      <x:c r="J1254" s="26"/>
      <x:c r="K1254" s="26"/>
      <x:c r="L1254" s="26"/>
    </x:row>
    <x:row r="1255">
      <x:c r="A1255" s="26"/>
      <x:c r="B1255" s="26"/>
      <x:c r="C1255" s="26"/>
      <x:c r="D1255" s="26"/>
      <x:c r="E1255" s="26"/>
      <x:c r="F1255" s="26"/>
      <x:c r="G1255" s="26"/>
      <x:c r="H1255" s="26"/>
      <x:c r="I1255" s="26"/>
      <x:c r="J1255" s="26"/>
      <x:c r="K1255" s="26"/>
      <x:c r="L1255" s="26"/>
    </x:row>
    <x:row r="1256">
      <x:c r="A1256" s="26"/>
      <x:c r="B1256" s="26"/>
      <x:c r="C1256" s="26"/>
      <x:c r="D1256" s="26"/>
      <x:c r="E1256" s="26"/>
      <x:c r="F1256" s="26"/>
      <x:c r="G1256" s="26"/>
      <x:c r="H1256" s="26"/>
      <x:c r="I1256" s="26"/>
      <x:c r="J1256" s="26"/>
      <x:c r="K1256" s="26"/>
      <x:c r="L1256" s="26"/>
    </x:row>
    <x:row r="1257">
      <x:c r="A1257" s="26"/>
      <x:c r="B1257" s="26"/>
      <x:c r="C1257" s="26"/>
      <x:c r="D1257" s="26"/>
      <x:c r="E1257" s="26"/>
      <x:c r="F1257" s="26"/>
      <x:c r="G1257" s="26"/>
      <x:c r="H1257" s="26"/>
      <x:c r="I1257" s="26"/>
      <x:c r="J1257" s="26"/>
      <x:c r="K1257" s="26"/>
      <x:c r="L1257" s="26"/>
    </x:row>
    <x:row r="1258">
      <x:c r="A1258" s="26"/>
      <x:c r="B1258" s="26"/>
      <x:c r="C1258" s="26"/>
      <x:c r="D1258" s="26"/>
      <x:c r="E1258" s="26"/>
      <x:c r="F1258" s="26"/>
      <x:c r="G1258" s="26"/>
      <x:c r="H1258" s="26"/>
      <x:c r="I1258" s="26"/>
      <x:c r="J1258" s="26"/>
      <x:c r="K1258" s="26"/>
      <x:c r="L1258" s="26"/>
    </x:row>
    <x:row r="1259">
      <x:c r="A1259" s="26"/>
      <x:c r="B1259" s="26"/>
      <x:c r="C1259" s="26"/>
      <x:c r="D1259" s="26"/>
      <x:c r="E1259" s="26"/>
      <x:c r="F1259" s="26"/>
      <x:c r="G1259" s="26"/>
      <x:c r="H1259" s="26"/>
      <x:c r="I1259" s="26"/>
      <x:c r="J1259" s="26"/>
      <x:c r="K1259" s="26"/>
      <x:c r="L1259" s="26"/>
    </x:row>
    <x:row r="1260">
      <x:c r="A1260" s="26"/>
      <x:c r="B1260" s="26"/>
      <x:c r="C1260" s="26"/>
      <x:c r="D1260" s="26"/>
      <x:c r="E1260" s="26"/>
      <x:c r="F1260" s="26"/>
      <x:c r="G1260" s="26"/>
      <x:c r="H1260" s="26"/>
      <x:c r="I1260" s="26"/>
      <x:c r="J1260" s="26"/>
      <x:c r="K1260" s="26"/>
      <x:c r="L1260" s="26"/>
    </x:row>
    <x:row r="1261">
      <x:c r="A1261" s="26"/>
      <x:c r="B1261" s="26"/>
      <x:c r="C1261" s="26"/>
      <x:c r="D1261" s="26"/>
      <x:c r="E1261" s="26"/>
      <x:c r="F1261" s="26"/>
      <x:c r="G1261" s="26"/>
      <x:c r="H1261" s="26"/>
      <x:c r="I1261" s="26"/>
      <x:c r="J1261" s="26"/>
      <x:c r="K1261" s="26"/>
      <x:c r="L1261" s="26"/>
    </x:row>
    <x:row r="1262">
      <x:c r="A1262" s="26"/>
      <x:c r="B1262" s="26"/>
      <x:c r="C1262" s="26"/>
      <x:c r="D1262" s="26"/>
      <x:c r="E1262" s="26"/>
      <x:c r="F1262" s="26"/>
      <x:c r="G1262" s="26"/>
      <x:c r="H1262" s="26"/>
      <x:c r="I1262" s="26"/>
      <x:c r="J1262" s="26"/>
      <x:c r="K1262" s="26"/>
      <x:c r="L1262" s="26"/>
    </x:row>
    <x:row r="1263">
      <x:c r="A1263" s="26"/>
      <x:c r="B1263" s="26"/>
      <x:c r="C1263" s="26"/>
      <x:c r="D1263" s="26"/>
      <x:c r="E1263" s="26"/>
      <x:c r="F1263" s="26"/>
      <x:c r="G1263" s="26"/>
      <x:c r="H1263" s="26"/>
      <x:c r="I1263" s="26"/>
      <x:c r="J1263" s="26"/>
      <x:c r="K1263" s="26"/>
      <x:c r="L1263" s="26"/>
    </x:row>
    <x:row r="1264">
      <x:c r="A1264" s="26"/>
      <x:c r="B1264" s="26"/>
      <x:c r="C1264" s="26"/>
      <x:c r="D1264" s="26"/>
      <x:c r="E1264" s="26"/>
      <x:c r="F1264" s="26"/>
      <x:c r="G1264" s="26"/>
      <x:c r="H1264" s="26"/>
      <x:c r="I1264" s="26"/>
      <x:c r="J1264" s="26"/>
      <x:c r="K1264" s="26"/>
      <x:c r="L1264" s="26"/>
    </x:row>
    <x:row r="1265">
      <x:c r="A1265" s="26"/>
      <x:c r="B1265" s="26"/>
      <x:c r="C1265" s="26"/>
      <x:c r="D1265" s="26"/>
      <x:c r="E1265" s="26"/>
      <x:c r="F1265" s="26"/>
      <x:c r="G1265" s="26"/>
      <x:c r="H1265" s="26"/>
      <x:c r="I1265" s="26"/>
      <x:c r="J1265" s="26"/>
      <x:c r="K1265" s="26"/>
      <x:c r="L1265" s="26"/>
    </x:row>
    <x:row r="1266">
      <x:c r="A1266" s="26"/>
      <x:c r="B1266" s="26"/>
      <x:c r="C1266" s="26"/>
      <x:c r="D1266" s="26"/>
      <x:c r="E1266" s="26"/>
      <x:c r="F1266" s="26"/>
      <x:c r="G1266" s="26"/>
      <x:c r="H1266" s="26"/>
      <x:c r="I1266" s="26"/>
      <x:c r="J1266" s="26"/>
      <x:c r="K1266" s="26"/>
      <x:c r="L1266" s="26"/>
    </x:row>
    <x:row r="1267">
      <x:c r="A1267" s="26"/>
      <x:c r="B1267" s="26"/>
      <x:c r="C1267" s="26"/>
      <x:c r="D1267" s="26"/>
      <x:c r="E1267" s="26"/>
      <x:c r="F1267" s="26"/>
      <x:c r="G1267" s="26"/>
      <x:c r="H1267" s="26"/>
      <x:c r="I1267" s="26"/>
      <x:c r="J1267" s="26"/>
      <x:c r="K1267" s="26"/>
      <x:c r="L1267" s="26"/>
    </x:row>
    <x:row r="1268">
      <x:c r="A1268" s="26"/>
      <x:c r="B1268" s="26"/>
      <x:c r="C1268" s="26"/>
      <x:c r="D1268" s="26"/>
      <x:c r="E1268" s="26"/>
      <x:c r="F1268" s="26"/>
      <x:c r="G1268" s="26"/>
      <x:c r="H1268" s="26"/>
      <x:c r="I1268" s="26"/>
      <x:c r="J1268" s="26"/>
      <x:c r="K1268" s="26"/>
      <x:c r="L1268" s="26"/>
    </x:row>
    <x:row r="1269">
      <x:c r="A1269" s="26"/>
      <x:c r="B1269" s="26"/>
      <x:c r="C1269" s="26"/>
      <x:c r="D1269" s="26"/>
      <x:c r="E1269" s="26"/>
      <x:c r="F1269" s="26"/>
      <x:c r="G1269" s="26"/>
      <x:c r="H1269" s="26"/>
      <x:c r="I1269" s="26"/>
      <x:c r="J1269" s="26"/>
      <x:c r="K1269" s="26"/>
      <x:c r="L1269" s="26"/>
    </x:row>
    <x:row r="1270">
      <x:c r="A1270" s="26"/>
      <x:c r="B1270" s="26"/>
      <x:c r="C1270" s="26"/>
      <x:c r="D1270" s="26"/>
      <x:c r="E1270" s="26"/>
      <x:c r="F1270" s="26"/>
      <x:c r="G1270" s="26"/>
      <x:c r="H1270" s="26"/>
      <x:c r="I1270" s="26"/>
      <x:c r="J1270" s="26"/>
      <x:c r="K1270" s="26"/>
      <x:c r="L1270" s="26"/>
    </x:row>
    <x:row r="1271">
      <x:c r="A1271" s="26"/>
      <x:c r="B1271" s="26"/>
      <x:c r="C1271" s="26"/>
      <x:c r="D1271" s="26"/>
      <x:c r="E1271" s="26"/>
      <x:c r="F1271" s="26"/>
      <x:c r="G1271" s="26"/>
      <x:c r="H1271" s="26"/>
      <x:c r="I1271" s="26"/>
      <x:c r="J1271" s="26"/>
      <x:c r="K1271" s="26"/>
      <x:c r="L1271" s="26"/>
    </x:row>
    <x:row r="1272">
      <x:c r="A1272" s="26"/>
      <x:c r="B1272" s="26"/>
      <x:c r="C1272" s="26"/>
      <x:c r="D1272" s="26"/>
      <x:c r="E1272" s="26"/>
      <x:c r="F1272" s="26"/>
      <x:c r="G1272" s="26"/>
      <x:c r="H1272" s="26"/>
      <x:c r="I1272" s="26"/>
      <x:c r="J1272" s="26"/>
      <x:c r="K1272" s="26"/>
      <x:c r="L1272" s="26"/>
    </x:row>
    <x:row r="1273">
      <x:c r="A1273" s="26"/>
      <x:c r="B1273" s="26"/>
      <x:c r="C1273" s="26"/>
      <x:c r="D1273" s="26"/>
      <x:c r="E1273" s="26"/>
      <x:c r="F1273" s="26"/>
      <x:c r="G1273" s="26"/>
      <x:c r="H1273" s="26"/>
      <x:c r="I1273" s="26"/>
      <x:c r="J1273" s="26"/>
      <x:c r="K1273" s="26"/>
      <x:c r="L1273" s="26"/>
    </x:row>
    <x:row r="1274">
      <x:c r="A1274" s="26"/>
      <x:c r="B1274" s="26"/>
      <x:c r="C1274" s="26"/>
      <x:c r="D1274" s="26"/>
      <x:c r="E1274" s="26"/>
      <x:c r="F1274" s="26"/>
      <x:c r="G1274" s="26"/>
      <x:c r="H1274" s="26"/>
      <x:c r="I1274" s="26"/>
      <x:c r="J1274" s="26"/>
      <x:c r="K1274" s="26"/>
      <x:c r="L1274" s="26"/>
    </x:row>
    <x:row r="1275">
      <x:c r="A1275" s="26"/>
      <x:c r="B1275" s="26"/>
      <x:c r="C1275" s="26"/>
      <x:c r="D1275" s="26"/>
      <x:c r="E1275" s="26"/>
      <x:c r="F1275" s="26"/>
      <x:c r="G1275" s="26"/>
      <x:c r="H1275" s="26"/>
      <x:c r="I1275" s="26"/>
      <x:c r="J1275" s="26"/>
      <x:c r="K1275" s="26"/>
      <x:c r="L1275" s="26"/>
    </x:row>
    <x:row r="1276">
      <x:c r="A1276" s="26"/>
      <x:c r="B1276" s="26"/>
      <x:c r="C1276" s="26"/>
      <x:c r="D1276" s="26"/>
      <x:c r="E1276" s="26"/>
      <x:c r="F1276" s="26"/>
      <x:c r="G1276" s="26"/>
      <x:c r="H1276" s="26"/>
      <x:c r="I1276" s="26"/>
      <x:c r="J1276" s="26"/>
      <x:c r="K1276" s="26"/>
      <x:c r="L1276" s="26"/>
    </x:row>
    <x:row r="1277">
      <x:c r="A1277" s="26"/>
      <x:c r="B1277" s="26"/>
      <x:c r="C1277" s="26"/>
      <x:c r="D1277" s="26"/>
      <x:c r="E1277" s="26"/>
      <x:c r="F1277" s="26"/>
      <x:c r="G1277" s="26"/>
      <x:c r="H1277" s="26"/>
      <x:c r="I1277" s="26"/>
      <x:c r="J1277" s="26"/>
      <x:c r="K1277" s="26"/>
      <x:c r="L1277" s="26"/>
    </x:row>
    <x:row r="1278">
      <x:c r="A1278" s="26"/>
      <x:c r="B1278" s="26"/>
      <x:c r="C1278" s="26"/>
      <x:c r="D1278" s="26"/>
      <x:c r="E1278" s="26"/>
      <x:c r="F1278" s="26"/>
      <x:c r="G1278" s="26"/>
      <x:c r="H1278" s="26"/>
      <x:c r="I1278" s="26"/>
      <x:c r="J1278" s="26"/>
      <x:c r="K1278" s="26"/>
      <x:c r="L1278" s="26"/>
    </x:row>
    <x:row r="1279">
      <x:c r="A1279" s="26"/>
      <x:c r="B1279" s="26"/>
      <x:c r="C1279" s="26"/>
      <x:c r="D1279" s="26"/>
      <x:c r="E1279" s="26"/>
      <x:c r="F1279" s="26"/>
      <x:c r="G1279" s="26"/>
      <x:c r="H1279" s="26"/>
      <x:c r="I1279" s="26"/>
      <x:c r="J1279" s="26"/>
      <x:c r="K1279" s="26"/>
      <x:c r="L1279" s="26"/>
    </x:row>
    <x:row r="1280">
      <x:c r="A1280" s="26"/>
      <x:c r="B1280" s="26"/>
      <x:c r="C1280" s="26"/>
      <x:c r="D1280" s="26"/>
      <x:c r="E1280" s="26"/>
      <x:c r="F1280" s="26"/>
      <x:c r="G1280" s="26"/>
      <x:c r="H1280" s="26"/>
      <x:c r="I1280" s="26"/>
      <x:c r="J1280" s="26"/>
      <x:c r="K1280" s="26"/>
      <x:c r="L1280" s="26"/>
    </x:row>
    <x:row r="1281">
      <x:c r="A1281" s="26"/>
      <x:c r="B1281" s="26"/>
      <x:c r="C1281" s="26"/>
      <x:c r="D1281" s="26"/>
      <x:c r="E1281" s="26"/>
      <x:c r="F1281" s="26"/>
      <x:c r="G1281" s="26"/>
      <x:c r="H1281" s="26"/>
      <x:c r="I1281" s="26"/>
      <x:c r="J1281" s="26"/>
      <x:c r="K1281" s="26"/>
      <x:c r="L1281" s="26"/>
    </x:row>
    <x:row r="1282">
      <x:c r="A1282" s="26"/>
      <x:c r="B1282" s="26"/>
      <x:c r="C1282" s="26"/>
      <x:c r="D1282" s="26"/>
      <x:c r="E1282" s="26"/>
      <x:c r="F1282" s="26"/>
      <x:c r="G1282" s="26"/>
      <x:c r="H1282" s="26"/>
      <x:c r="I1282" s="26"/>
      <x:c r="J1282" s="26"/>
      <x:c r="K1282" s="26"/>
      <x:c r="L1282" s="26"/>
    </x:row>
    <x:row r="1283">
      <x:c r="A1283" s="26"/>
      <x:c r="B1283" s="26"/>
      <x:c r="C1283" s="26"/>
      <x:c r="D1283" s="26"/>
      <x:c r="E1283" s="26"/>
      <x:c r="F1283" s="26"/>
      <x:c r="G1283" s="26"/>
      <x:c r="H1283" s="26"/>
      <x:c r="I1283" s="26"/>
      <x:c r="J1283" s="26"/>
      <x:c r="K1283" s="26"/>
      <x:c r="L1283" s="26"/>
    </x:row>
    <x:row r="1284">
      <x:c r="A1284" s="26"/>
      <x:c r="B1284" s="26"/>
      <x:c r="C1284" s="26"/>
      <x:c r="D1284" s="26"/>
      <x:c r="E1284" s="26"/>
      <x:c r="F1284" s="26"/>
      <x:c r="G1284" s="26"/>
      <x:c r="H1284" s="26"/>
      <x:c r="I1284" s="26"/>
      <x:c r="J1284" s="26"/>
      <x:c r="K1284" s="26"/>
      <x:c r="L1284" s="26"/>
    </x:row>
    <x:row r="1285">
      <x:c r="A1285" s="26"/>
      <x:c r="B1285" s="26"/>
      <x:c r="C1285" s="26"/>
      <x:c r="D1285" s="26"/>
      <x:c r="E1285" s="26"/>
      <x:c r="F1285" s="26"/>
      <x:c r="G1285" s="26"/>
      <x:c r="H1285" s="26"/>
      <x:c r="I1285" s="26"/>
      <x:c r="J1285" s="26"/>
      <x:c r="K1285" s="26"/>
      <x:c r="L1285" s="26"/>
    </x:row>
    <x:row r="1286">
      <x:c r="A1286" s="26"/>
      <x:c r="B1286" s="26"/>
      <x:c r="C1286" s="26"/>
      <x:c r="D1286" s="26"/>
      <x:c r="E1286" s="26"/>
      <x:c r="F1286" s="26"/>
      <x:c r="G1286" s="26"/>
      <x:c r="H1286" s="26"/>
      <x:c r="I1286" s="26"/>
      <x:c r="J1286" s="26"/>
      <x:c r="K1286" s="26"/>
      <x:c r="L1286" s="26"/>
    </x:row>
    <x:row r="1287">
      <x:c r="A1287" s="26"/>
      <x:c r="B1287" s="26"/>
      <x:c r="C1287" s="26"/>
      <x:c r="D1287" s="26"/>
      <x:c r="E1287" s="26"/>
      <x:c r="F1287" s="26"/>
      <x:c r="G1287" s="26"/>
      <x:c r="H1287" s="26"/>
      <x:c r="I1287" s="26"/>
      <x:c r="J1287" s="26"/>
      <x:c r="K1287" s="26"/>
      <x:c r="L1287" s="26"/>
    </x:row>
    <x:row r="1288">
      <x:c r="A1288" s="26"/>
      <x:c r="B1288" s="26"/>
      <x:c r="C1288" s="26"/>
      <x:c r="D1288" s="26"/>
      <x:c r="E1288" s="26"/>
      <x:c r="F1288" s="26"/>
      <x:c r="G1288" s="26"/>
      <x:c r="H1288" s="26"/>
      <x:c r="I1288" s="26"/>
      <x:c r="J1288" s="26"/>
      <x:c r="K1288" s="26"/>
      <x:c r="L1288" s="26"/>
    </x:row>
    <x:row r="1289">
      <x:c r="A1289" s="26"/>
      <x:c r="B1289" s="26"/>
      <x:c r="C1289" s="26"/>
      <x:c r="D1289" s="26"/>
      <x:c r="E1289" s="26"/>
      <x:c r="F1289" s="26"/>
      <x:c r="G1289" s="26"/>
      <x:c r="H1289" s="26"/>
      <x:c r="I1289" s="26"/>
      <x:c r="J1289" s="26"/>
      <x:c r="K1289" s="26"/>
      <x:c r="L1289" s="26"/>
    </x:row>
    <x:row r="1290">
      <x:c r="A1290" s="26"/>
      <x:c r="B1290" s="26"/>
      <x:c r="C1290" s="26"/>
      <x:c r="D1290" s="26"/>
      <x:c r="E1290" s="26"/>
      <x:c r="F1290" s="26"/>
      <x:c r="G1290" s="26"/>
      <x:c r="H1290" s="26"/>
      <x:c r="I1290" s="26"/>
      <x:c r="J1290" s="26"/>
      <x:c r="K1290" s="26"/>
      <x:c r="L1290" s="26"/>
    </x:row>
    <x:row r="1291">
      <x:c r="A1291" s="26"/>
      <x:c r="B1291" s="26"/>
      <x:c r="C1291" s="26"/>
      <x:c r="D1291" s="26"/>
      <x:c r="E1291" s="26"/>
      <x:c r="F1291" s="26"/>
      <x:c r="G1291" s="26"/>
      <x:c r="H1291" s="26"/>
      <x:c r="I1291" s="26"/>
      <x:c r="J1291" s="26"/>
      <x:c r="K1291" s="26"/>
      <x:c r="L1291" s="26"/>
    </x:row>
    <x:row r="1292">
      <x:c r="A1292" s="26"/>
      <x:c r="B1292" s="26"/>
      <x:c r="C1292" s="26"/>
      <x:c r="D1292" s="26"/>
      <x:c r="E1292" s="26"/>
      <x:c r="F1292" s="26"/>
      <x:c r="G1292" s="26"/>
      <x:c r="H1292" s="26"/>
      <x:c r="I1292" s="26"/>
      <x:c r="J1292" s="26"/>
      <x:c r="K1292" s="26"/>
      <x:c r="L1292" s="26"/>
    </x:row>
    <x:row r="1293">
      <x:c r="A1293" s="26"/>
      <x:c r="B1293" s="26"/>
      <x:c r="C1293" s="26"/>
      <x:c r="D1293" s="26"/>
      <x:c r="E1293" s="26"/>
      <x:c r="F1293" s="26"/>
      <x:c r="G1293" s="26"/>
      <x:c r="H1293" s="26"/>
      <x:c r="I1293" s="26"/>
      <x:c r="J1293" s="26"/>
      <x:c r="K1293" s="26"/>
      <x:c r="L1293" s="26"/>
    </x:row>
    <x:row r="1294">
      <x:c r="A1294" s="26"/>
      <x:c r="B1294" s="26"/>
      <x:c r="C1294" s="26"/>
      <x:c r="D1294" s="26"/>
      <x:c r="E1294" s="26"/>
      <x:c r="F1294" s="26"/>
      <x:c r="G1294" s="26"/>
      <x:c r="H1294" s="26"/>
      <x:c r="I1294" s="26"/>
      <x:c r="J1294" s="26"/>
      <x:c r="K1294" s="26"/>
      <x:c r="L1294" s="26"/>
    </x:row>
    <x:row r="1295">
      <x:c r="A1295" s="26"/>
      <x:c r="B1295" s="26"/>
      <x:c r="C1295" s="26"/>
      <x:c r="D1295" s="26"/>
      <x:c r="E1295" s="26"/>
      <x:c r="F1295" s="26"/>
      <x:c r="G1295" s="26"/>
      <x:c r="H1295" s="26"/>
      <x:c r="I1295" s="26"/>
      <x:c r="J1295" s="26"/>
      <x:c r="K1295" s="26"/>
      <x:c r="L1295" s="26"/>
    </x:row>
    <x:row r="1296">
      <x:c r="A1296" s="26"/>
      <x:c r="B1296" s="26"/>
      <x:c r="C1296" s="26"/>
      <x:c r="D1296" s="26"/>
      <x:c r="E1296" s="26"/>
      <x:c r="F1296" s="26"/>
      <x:c r="G1296" s="26"/>
      <x:c r="H1296" s="26"/>
      <x:c r="I1296" s="26"/>
      <x:c r="J1296" s="26"/>
      <x:c r="K1296" s="26"/>
      <x:c r="L1296" s="26"/>
    </x:row>
    <x:row r="1297">
      <x:c r="A1297" s="26"/>
      <x:c r="B1297" s="26"/>
      <x:c r="C1297" s="26"/>
      <x:c r="D1297" s="26"/>
      <x:c r="E1297" s="26"/>
      <x:c r="F1297" s="26"/>
      <x:c r="G1297" s="26"/>
      <x:c r="H1297" s="26"/>
      <x:c r="I1297" s="26"/>
      <x:c r="J1297" s="26"/>
      <x:c r="K1297" s="26"/>
      <x:c r="L1297" s="26"/>
    </x:row>
    <x:row r="1298">
      <x:c r="A1298" s="26"/>
      <x:c r="B1298" s="26"/>
      <x:c r="C1298" s="26"/>
      <x:c r="D1298" s="26"/>
      <x:c r="E1298" s="26"/>
      <x:c r="F1298" s="26"/>
      <x:c r="G1298" s="26"/>
      <x:c r="H1298" s="26"/>
      <x:c r="I1298" s="26"/>
      <x:c r="J1298" s="26"/>
      <x:c r="K1298" s="26"/>
      <x:c r="L1298" s="26"/>
    </x:row>
    <x:row r="1299">
      <x:c r="A1299" s="26"/>
      <x:c r="B1299" s="26"/>
      <x:c r="C1299" s="26"/>
      <x:c r="D1299" s="26"/>
      <x:c r="E1299" s="26"/>
      <x:c r="F1299" s="26"/>
      <x:c r="G1299" s="26"/>
      <x:c r="H1299" s="26"/>
      <x:c r="I1299" s="26"/>
      <x:c r="J1299" s="26"/>
      <x:c r="K1299" s="26"/>
      <x:c r="L1299" s="26"/>
    </x:row>
    <x:row r="1300">
      <x:c r="A1300" s="26"/>
      <x:c r="B1300" s="26"/>
      <x:c r="C1300" s="26"/>
      <x:c r="D1300" s="26"/>
      <x:c r="E1300" s="26"/>
      <x:c r="F1300" s="26"/>
      <x:c r="G1300" s="26"/>
      <x:c r="H1300" s="26"/>
      <x:c r="I1300" s="26"/>
      <x:c r="J1300" s="26"/>
      <x:c r="K1300" s="26"/>
      <x:c r="L1300" s="26"/>
    </x:row>
    <x:row r="1301">
      <x:c r="A1301" s="26"/>
      <x:c r="B1301" s="26"/>
      <x:c r="C1301" s="26"/>
      <x:c r="D1301" s="26"/>
      <x:c r="E1301" s="26"/>
      <x:c r="F1301" s="26"/>
      <x:c r="G1301" s="26"/>
      <x:c r="H1301" s="26"/>
      <x:c r="I1301" s="26"/>
      <x:c r="J1301" s="26"/>
      <x:c r="K1301" s="26"/>
      <x:c r="L1301" s="26"/>
    </x:row>
    <x:row r="1302">
      <x:c r="A1302" s="26"/>
      <x:c r="B1302" s="26"/>
      <x:c r="C1302" s="26"/>
      <x:c r="D1302" s="26"/>
      <x:c r="E1302" s="26"/>
      <x:c r="F1302" s="26"/>
      <x:c r="G1302" s="26"/>
      <x:c r="H1302" s="26"/>
      <x:c r="I1302" s="26"/>
      <x:c r="J1302" s="26"/>
      <x:c r="K1302" s="26"/>
      <x:c r="L1302" s="26"/>
    </x:row>
    <x:row r="1303">
      <x:c r="A1303" s="26"/>
      <x:c r="B1303" s="26"/>
      <x:c r="C1303" s="26"/>
      <x:c r="D1303" s="26"/>
      <x:c r="E1303" s="26"/>
      <x:c r="F1303" s="26"/>
      <x:c r="G1303" s="26"/>
      <x:c r="H1303" s="26"/>
      <x:c r="I1303" s="26"/>
      <x:c r="J1303" s="26"/>
      <x:c r="K1303" s="26"/>
      <x:c r="L1303" s="26"/>
    </x:row>
    <x:row r="1304">
      <x:c r="A1304" s="26"/>
      <x:c r="B1304" s="26"/>
      <x:c r="C1304" s="26"/>
      <x:c r="D1304" s="26"/>
      <x:c r="E1304" s="26"/>
      <x:c r="F1304" s="26"/>
      <x:c r="G1304" s="26"/>
      <x:c r="H1304" s="26"/>
      <x:c r="I1304" s="26"/>
      <x:c r="J1304" s="26"/>
      <x:c r="K1304" s="26"/>
      <x:c r="L1304" s="26"/>
    </x:row>
    <x:row r="1305">
      <x:c r="A1305" s="26"/>
      <x:c r="B1305" s="26"/>
      <x:c r="C1305" s="26"/>
      <x:c r="D1305" s="26"/>
      <x:c r="E1305" s="26"/>
      <x:c r="F1305" s="26"/>
      <x:c r="G1305" s="26"/>
      <x:c r="H1305" s="26"/>
      <x:c r="I1305" s="26"/>
      <x:c r="J1305" s="26"/>
      <x:c r="K1305" s="26"/>
      <x:c r="L1305" s="26"/>
    </x:row>
    <x:row r="1306">
      <x:c r="A1306" s="26"/>
      <x:c r="B1306" s="26"/>
      <x:c r="C1306" s="26"/>
      <x:c r="D1306" s="26"/>
      <x:c r="E1306" s="26"/>
      <x:c r="F1306" s="26"/>
      <x:c r="G1306" s="26"/>
      <x:c r="H1306" s="26"/>
      <x:c r="I1306" s="26"/>
      <x:c r="J1306" s="26"/>
      <x:c r="K1306" s="26"/>
      <x:c r="L1306" s="26"/>
    </x:row>
    <x:row r="1307">
      <x:c r="A1307" s="26"/>
      <x:c r="B1307" s="26"/>
      <x:c r="C1307" s="26"/>
      <x:c r="D1307" s="26"/>
      <x:c r="E1307" s="26"/>
      <x:c r="F1307" s="26"/>
      <x:c r="G1307" s="26"/>
      <x:c r="H1307" s="26"/>
      <x:c r="I1307" s="26"/>
      <x:c r="J1307" s="26"/>
      <x:c r="K1307" s="26"/>
      <x:c r="L1307" s="26"/>
    </x:row>
    <x:row r="1308">
      <x:c r="A1308" s="26"/>
      <x:c r="B1308" s="26"/>
      <x:c r="C1308" s="26"/>
      <x:c r="D1308" s="26"/>
      <x:c r="E1308" s="26"/>
      <x:c r="F1308" s="26"/>
      <x:c r="G1308" s="26"/>
      <x:c r="H1308" s="26"/>
      <x:c r="I1308" s="26"/>
      <x:c r="J1308" s="26"/>
      <x:c r="K1308" s="26"/>
      <x:c r="L1308" s="26"/>
    </x:row>
    <x:row r="1309">
      <x:c r="A1309" s="26"/>
      <x:c r="B1309" s="26"/>
      <x:c r="C1309" s="26"/>
      <x:c r="D1309" s="26"/>
      <x:c r="E1309" s="26"/>
      <x:c r="F1309" s="26"/>
      <x:c r="G1309" s="26"/>
      <x:c r="H1309" s="26"/>
      <x:c r="I1309" s="26"/>
      <x:c r="J1309" s="26"/>
      <x:c r="K1309" s="26"/>
      <x:c r="L1309" s="26"/>
    </x:row>
    <x:row r="1310">
      <x:c r="A1310" s="26"/>
      <x:c r="B1310" s="26"/>
      <x:c r="C1310" s="26"/>
      <x:c r="D1310" s="26"/>
      <x:c r="E1310" s="26"/>
      <x:c r="F1310" s="26"/>
      <x:c r="G1310" s="26"/>
      <x:c r="H1310" s="26"/>
      <x:c r="I1310" s="26"/>
      <x:c r="J1310" s="26"/>
      <x:c r="K1310" s="26"/>
      <x:c r="L1310" s="26"/>
    </x:row>
    <x:row r="1311">
      <x:c r="A1311" s="26"/>
      <x:c r="B1311" s="26"/>
      <x:c r="C1311" s="26"/>
      <x:c r="D1311" s="26"/>
      <x:c r="E1311" s="26"/>
      <x:c r="F1311" s="26"/>
      <x:c r="G1311" s="26"/>
      <x:c r="H1311" s="26"/>
      <x:c r="I1311" s="26"/>
      <x:c r="J1311" s="26"/>
      <x:c r="K1311" s="26"/>
      <x:c r="L1311" s="26"/>
    </x:row>
    <x:row r="1312">
      <x:c r="A1312" s="26"/>
      <x:c r="B1312" s="26"/>
      <x:c r="C1312" s="26"/>
      <x:c r="D1312" s="26"/>
      <x:c r="E1312" s="26"/>
      <x:c r="F1312" s="26"/>
      <x:c r="G1312" s="26"/>
      <x:c r="H1312" s="26"/>
      <x:c r="I1312" s="26"/>
      <x:c r="J1312" s="26"/>
      <x:c r="K1312" s="26"/>
      <x:c r="L1312" s="26"/>
    </x:row>
    <x:row r="1313">
      <x:c r="A1313" s="26"/>
      <x:c r="B1313" s="26"/>
      <x:c r="C1313" s="26"/>
      <x:c r="D1313" s="26"/>
      <x:c r="E1313" s="26"/>
      <x:c r="F1313" s="26"/>
      <x:c r="G1313" s="26"/>
      <x:c r="H1313" s="26"/>
      <x:c r="I1313" s="26"/>
      <x:c r="J1313" s="26"/>
      <x:c r="K1313" s="26"/>
      <x:c r="L1313" s="26"/>
    </x:row>
    <x:row r="1314">
      <x:c r="A1314" s="26"/>
      <x:c r="B1314" s="26"/>
      <x:c r="C1314" s="26"/>
      <x:c r="D1314" s="26"/>
      <x:c r="E1314" s="26"/>
      <x:c r="F1314" s="26"/>
      <x:c r="G1314" s="26"/>
      <x:c r="H1314" s="26"/>
      <x:c r="I1314" s="26"/>
      <x:c r="J1314" s="26"/>
      <x:c r="K1314" s="26"/>
      <x:c r="L1314" s="26"/>
    </x:row>
    <x:row r="1315">
      <x:c r="A1315" s="26"/>
      <x:c r="B1315" s="26"/>
      <x:c r="C1315" s="26"/>
      <x:c r="D1315" s="26"/>
      <x:c r="E1315" s="26"/>
      <x:c r="F1315" s="26"/>
      <x:c r="G1315" s="26"/>
      <x:c r="H1315" s="26"/>
      <x:c r="I1315" s="26"/>
      <x:c r="J1315" s="26"/>
      <x:c r="K1315" s="26"/>
      <x:c r="L1315" s="26"/>
    </x:row>
    <x:row r="1316">
      <x:c r="A1316" s="26"/>
      <x:c r="B1316" s="26"/>
      <x:c r="C1316" s="26"/>
      <x:c r="D1316" s="26"/>
      <x:c r="E1316" s="26"/>
      <x:c r="F1316" s="26"/>
      <x:c r="G1316" s="26"/>
      <x:c r="H1316" s="26"/>
      <x:c r="I1316" s="26"/>
      <x:c r="J1316" s="26"/>
      <x:c r="K1316" s="26"/>
      <x:c r="L1316" s="26"/>
    </x:row>
    <x:row r="1317">
      <x:c r="A1317" s="26"/>
      <x:c r="B1317" s="26"/>
      <x:c r="C1317" s="26"/>
      <x:c r="D1317" s="26"/>
      <x:c r="E1317" s="26"/>
      <x:c r="F1317" s="26"/>
      <x:c r="G1317" s="26"/>
      <x:c r="H1317" s="26"/>
      <x:c r="I1317" s="26"/>
      <x:c r="J1317" s="26"/>
      <x:c r="K1317" s="26"/>
      <x:c r="L1317" s="26"/>
    </x:row>
    <x:row r="1318">
      <x:c r="A1318" s="26"/>
      <x:c r="B1318" s="26"/>
      <x:c r="C1318" s="26"/>
      <x:c r="D1318" s="26"/>
      <x:c r="E1318" s="26"/>
      <x:c r="F1318" s="26"/>
      <x:c r="G1318" s="26"/>
      <x:c r="H1318" s="26"/>
      <x:c r="I1318" s="26"/>
      <x:c r="J1318" s="26"/>
      <x:c r="K1318" s="26"/>
      <x:c r="L1318" s="26"/>
    </x:row>
    <x:row r="1319">
      <x:c r="A1319" s="26"/>
      <x:c r="B1319" s="26"/>
      <x:c r="C1319" s="26"/>
      <x:c r="D1319" s="26"/>
      <x:c r="E1319" s="26"/>
      <x:c r="F1319" s="26"/>
      <x:c r="G1319" s="26"/>
      <x:c r="H1319" s="26"/>
      <x:c r="I1319" s="26"/>
      <x:c r="J1319" s="26"/>
      <x:c r="K1319" s="26"/>
      <x:c r="L1319" s="26"/>
    </x:row>
    <x:row r="1320">
      <x:c r="A1320" s="26"/>
      <x:c r="B1320" s="26"/>
      <x:c r="C1320" s="26"/>
      <x:c r="D1320" s="26"/>
      <x:c r="E1320" s="26"/>
      <x:c r="F1320" s="26"/>
      <x:c r="G1320" s="26"/>
      <x:c r="H1320" s="26"/>
      <x:c r="I1320" s="26"/>
      <x:c r="J1320" s="26"/>
      <x:c r="K1320" s="26"/>
      <x:c r="L1320" s="26"/>
    </x:row>
    <x:row r="1321">
      <x:c r="A1321" s="26"/>
      <x:c r="B1321" s="26"/>
      <x:c r="C1321" s="26"/>
      <x:c r="D1321" s="26"/>
      <x:c r="E1321" s="26"/>
      <x:c r="F1321" s="26"/>
      <x:c r="G1321" s="26"/>
      <x:c r="H1321" s="26"/>
      <x:c r="I1321" s="26"/>
      <x:c r="J1321" s="26"/>
      <x:c r="K1321" s="26"/>
      <x:c r="L1321" s="26"/>
    </x:row>
    <x:row r="1322">
      <x:c r="A1322" s="26"/>
      <x:c r="B1322" s="26"/>
      <x:c r="C1322" s="26"/>
      <x:c r="D1322" s="26"/>
      <x:c r="E1322" s="26"/>
      <x:c r="F1322" s="26"/>
      <x:c r="G1322" s="26"/>
      <x:c r="H1322" s="26"/>
      <x:c r="I1322" s="26"/>
      <x:c r="J1322" s="26"/>
      <x:c r="K1322" s="26"/>
      <x:c r="L1322" s="26"/>
    </x:row>
    <x:row r="1323">
      <x:c r="A1323" s="26"/>
      <x:c r="B1323" s="26"/>
      <x:c r="C1323" s="26"/>
      <x:c r="D1323" s="26"/>
      <x:c r="E1323" s="26"/>
      <x:c r="F1323" s="26"/>
      <x:c r="G1323" s="26"/>
      <x:c r="H1323" s="26"/>
      <x:c r="I1323" s="26"/>
      <x:c r="J1323" s="26"/>
      <x:c r="K1323" s="26"/>
      <x:c r="L1323" s="26"/>
    </x:row>
    <x:row r="1324">
      <x:c r="A1324" s="26"/>
      <x:c r="B1324" s="26"/>
      <x:c r="C1324" s="26"/>
      <x:c r="D1324" s="26"/>
      <x:c r="E1324" s="26"/>
      <x:c r="F1324" s="26"/>
      <x:c r="G1324" s="26"/>
      <x:c r="H1324" s="26"/>
      <x:c r="I1324" s="26"/>
      <x:c r="J1324" s="26"/>
      <x:c r="K1324" s="26"/>
      <x:c r="L1324" s="26"/>
    </x:row>
    <x:row r="1325">
      <x:c r="A1325" s="26"/>
      <x:c r="B1325" s="26"/>
      <x:c r="C1325" s="26"/>
      <x:c r="D1325" s="26"/>
      <x:c r="E1325" s="26"/>
      <x:c r="F1325" s="26"/>
      <x:c r="G1325" s="26"/>
      <x:c r="H1325" s="26"/>
      <x:c r="I1325" s="26"/>
      <x:c r="J1325" s="26"/>
      <x:c r="K1325" s="26"/>
      <x:c r="L1325" s="26"/>
    </x:row>
    <x:row r="1326">
      <x:c r="A1326" s="26"/>
      <x:c r="B1326" s="26"/>
      <x:c r="C1326" s="26"/>
      <x:c r="D1326" s="26"/>
      <x:c r="E1326" s="26"/>
      <x:c r="F1326" s="26"/>
      <x:c r="G1326" s="26"/>
      <x:c r="H1326" s="26"/>
      <x:c r="I1326" s="26"/>
      <x:c r="J1326" s="26"/>
      <x:c r="K1326" s="26"/>
      <x:c r="L1326" s="26"/>
    </x:row>
    <x:row r="1327">
      <x:c r="A1327" s="26"/>
      <x:c r="B1327" s="26"/>
      <x:c r="C1327" s="26"/>
      <x:c r="D1327" s="26"/>
      <x:c r="E1327" s="26"/>
      <x:c r="F1327" s="26"/>
      <x:c r="G1327" s="26"/>
      <x:c r="H1327" s="26"/>
      <x:c r="I1327" s="26"/>
      <x:c r="J1327" s="26"/>
      <x:c r="K1327" s="26"/>
      <x:c r="L1327" s="26"/>
    </x:row>
    <x:row r="1328">
      <x:c r="A1328" s="26"/>
      <x:c r="B1328" s="26"/>
      <x:c r="C1328" s="26"/>
      <x:c r="D1328" s="26"/>
      <x:c r="E1328" s="26"/>
      <x:c r="F1328" s="26"/>
      <x:c r="G1328" s="26"/>
      <x:c r="H1328" s="26"/>
      <x:c r="I1328" s="26"/>
      <x:c r="J1328" s="26"/>
      <x:c r="K1328" s="26"/>
      <x:c r="L1328" s="26"/>
    </x:row>
    <x:row r="1329">
      <x:c r="A1329" s="26"/>
      <x:c r="B1329" s="26"/>
      <x:c r="C1329" s="26"/>
      <x:c r="D1329" s="26"/>
      <x:c r="E1329" s="26"/>
      <x:c r="F1329" s="26"/>
      <x:c r="G1329" s="26"/>
      <x:c r="H1329" s="26"/>
      <x:c r="I1329" s="26"/>
      <x:c r="J1329" s="26"/>
      <x:c r="K1329" s="26"/>
      <x:c r="L1329" s="26"/>
    </x:row>
    <x:row r="1330">
      <x:c r="A1330" s="26"/>
      <x:c r="B1330" s="26"/>
      <x:c r="C1330" s="26"/>
      <x:c r="D1330" s="26"/>
      <x:c r="E1330" s="26"/>
      <x:c r="F1330" s="26"/>
      <x:c r="G1330" s="26"/>
      <x:c r="H1330" s="26"/>
      <x:c r="I1330" s="26"/>
      <x:c r="J1330" s="26"/>
      <x:c r="K1330" s="26"/>
      <x:c r="L1330" s="26"/>
    </x:row>
    <x:row r="1331">
      <x:c r="A1331" s="26"/>
      <x:c r="B1331" s="26"/>
      <x:c r="C1331" s="26"/>
      <x:c r="D1331" s="26"/>
      <x:c r="E1331" s="26"/>
      <x:c r="F1331" s="26"/>
      <x:c r="G1331" s="26"/>
      <x:c r="H1331" s="26"/>
      <x:c r="I1331" s="26"/>
      <x:c r="J1331" s="26"/>
      <x:c r="K1331" s="26"/>
      <x:c r="L1331" s="26"/>
    </x:row>
    <x:row r="1332">
      <x:c r="A1332" s="26"/>
      <x:c r="B1332" s="26"/>
      <x:c r="C1332" s="26"/>
      <x:c r="D1332" s="26"/>
      <x:c r="E1332" s="26"/>
      <x:c r="F1332" s="26"/>
      <x:c r="G1332" s="26"/>
      <x:c r="H1332" s="26"/>
      <x:c r="I1332" s="26"/>
      <x:c r="J1332" s="26"/>
      <x:c r="K1332" s="26"/>
      <x:c r="L1332" s="26"/>
    </x:row>
    <x:row r="1333">
      <x:c r="A1333" s="26"/>
      <x:c r="B1333" s="26"/>
      <x:c r="C1333" s="26"/>
      <x:c r="D1333" s="26"/>
      <x:c r="E1333" s="26"/>
      <x:c r="F1333" s="26"/>
      <x:c r="G1333" s="26"/>
      <x:c r="H1333" s="26"/>
      <x:c r="I1333" s="26"/>
      <x:c r="J1333" s="26"/>
      <x:c r="K1333" s="26"/>
      <x:c r="L1333" s="26"/>
    </x:row>
    <x:row r="1334">
      <x:c r="A1334" s="26"/>
      <x:c r="B1334" s="26"/>
      <x:c r="C1334" s="26"/>
      <x:c r="D1334" s="26"/>
      <x:c r="E1334" s="26"/>
      <x:c r="F1334" s="26"/>
      <x:c r="G1334" s="26"/>
      <x:c r="H1334" s="26"/>
      <x:c r="I1334" s="26"/>
      <x:c r="J1334" s="26"/>
      <x:c r="K1334" s="26"/>
      <x:c r="L1334" s="26"/>
    </x:row>
    <x:row r="1335">
      <x:c r="A1335" s="26"/>
      <x:c r="B1335" s="26"/>
      <x:c r="C1335" s="26"/>
      <x:c r="D1335" s="26"/>
      <x:c r="E1335" s="26"/>
      <x:c r="F1335" s="26"/>
      <x:c r="G1335" s="26"/>
      <x:c r="H1335" s="26"/>
      <x:c r="I1335" s="26"/>
      <x:c r="J1335" s="26"/>
      <x:c r="K1335" s="26"/>
      <x:c r="L1335" s="26"/>
    </x:row>
    <x:row r="1336">
      <x:c r="A1336" s="26"/>
      <x:c r="B1336" s="26"/>
      <x:c r="C1336" s="26"/>
      <x:c r="D1336" s="26"/>
      <x:c r="E1336" s="26"/>
      <x:c r="F1336" s="26"/>
      <x:c r="G1336" s="26"/>
      <x:c r="H1336" s="26"/>
      <x:c r="I1336" s="26"/>
      <x:c r="J1336" s="26"/>
      <x:c r="K1336" s="26"/>
      <x:c r="L1336" s="26"/>
    </x:row>
    <x:row r="1337">
      <x:c r="A1337" s="26"/>
      <x:c r="B1337" s="26"/>
      <x:c r="C1337" s="26"/>
      <x:c r="D1337" s="26"/>
      <x:c r="E1337" s="26"/>
      <x:c r="F1337" s="26"/>
      <x:c r="G1337" s="26"/>
      <x:c r="H1337" s="26"/>
      <x:c r="I1337" s="26"/>
      <x:c r="J1337" s="26"/>
      <x:c r="K1337" s="26"/>
      <x:c r="L1337" s="26"/>
    </x:row>
    <x:row r="1338">
      <x:c r="A1338" s="26"/>
      <x:c r="B1338" s="26"/>
      <x:c r="C1338" s="26"/>
      <x:c r="D1338" s="26"/>
      <x:c r="E1338" s="26"/>
      <x:c r="F1338" s="26"/>
      <x:c r="G1338" s="26"/>
      <x:c r="H1338" s="26"/>
      <x:c r="I1338" s="26"/>
      <x:c r="J1338" s="26"/>
      <x:c r="K1338" s="26"/>
      <x:c r="L1338" s="26"/>
    </x:row>
    <x:row r="1339">
      <x:c r="A1339" s="26"/>
      <x:c r="B1339" s="26"/>
      <x:c r="C1339" s="26"/>
      <x:c r="D1339" s="26"/>
      <x:c r="E1339" s="26"/>
      <x:c r="F1339" s="26"/>
      <x:c r="G1339" s="26"/>
      <x:c r="H1339" s="26"/>
      <x:c r="I1339" s="26"/>
      <x:c r="J1339" s="26"/>
      <x:c r="K1339" s="26"/>
      <x:c r="L1339" s="26"/>
    </x:row>
    <x:row r="1340">
      <x:c r="A1340" s="26"/>
      <x:c r="B1340" s="26"/>
      <x:c r="C1340" s="26"/>
      <x:c r="D1340" s="26"/>
      <x:c r="E1340" s="26"/>
      <x:c r="F1340" s="26"/>
      <x:c r="G1340" s="26"/>
      <x:c r="H1340" s="26"/>
      <x:c r="I1340" s="26"/>
      <x:c r="J1340" s="26"/>
      <x:c r="K1340" s="26"/>
      <x:c r="L1340" s="26"/>
    </x:row>
    <x:row r="1341">
      <x:c r="A1341" s="26"/>
      <x:c r="B1341" s="26"/>
      <x:c r="C1341" s="26"/>
      <x:c r="D1341" s="26"/>
      <x:c r="E1341" s="26"/>
      <x:c r="F1341" s="26"/>
      <x:c r="G1341" s="26"/>
      <x:c r="H1341" s="26"/>
      <x:c r="I1341" s="26"/>
      <x:c r="J1341" s="26"/>
      <x:c r="K1341" s="26"/>
      <x:c r="L1341" s="26"/>
    </x:row>
    <x:row r="1342">
      <x:c r="A1342" s="26"/>
      <x:c r="B1342" s="26"/>
      <x:c r="C1342" s="26"/>
      <x:c r="D1342" s="26"/>
      <x:c r="E1342" s="26"/>
      <x:c r="F1342" s="26"/>
      <x:c r="G1342" s="26"/>
      <x:c r="H1342" s="26"/>
      <x:c r="I1342" s="26"/>
      <x:c r="J1342" s="26"/>
      <x:c r="K1342" s="26"/>
      <x:c r="L1342" s="26"/>
    </x:row>
    <x:row r="1343">
      <x:c r="A1343" s="26"/>
      <x:c r="B1343" s="26"/>
      <x:c r="C1343" s="26"/>
      <x:c r="D1343" s="26"/>
      <x:c r="E1343" s="26"/>
      <x:c r="F1343" s="26"/>
      <x:c r="G1343" s="26"/>
      <x:c r="H1343" s="26"/>
      <x:c r="I1343" s="26"/>
      <x:c r="J1343" s="26"/>
      <x:c r="K1343" s="26"/>
      <x:c r="L1343" s="26"/>
    </x:row>
    <x:row r="1344">
      <x:c r="A1344" s="26"/>
      <x:c r="B1344" s="26"/>
      <x:c r="C1344" s="26"/>
      <x:c r="D1344" s="26"/>
      <x:c r="E1344" s="26"/>
      <x:c r="F1344" s="26"/>
      <x:c r="G1344" s="26"/>
      <x:c r="H1344" s="26"/>
      <x:c r="I1344" s="26"/>
      <x:c r="J1344" s="26"/>
      <x:c r="K1344" s="26"/>
      <x:c r="L1344" s="26"/>
    </x:row>
    <x:row r="1345">
      <x:c r="A1345" s="26"/>
      <x:c r="B1345" s="26"/>
      <x:c r="C1345" s="26"/>
      <x:c r="D1345" s="26"/>
      <x:c r="E1345" s="26"/>
      <x:c r="F1345" s="26"/>
      <x:c r="G1345" s="26"/>
      <x:c r="H1345" s="26"/>
      <x:c r="I1345" s="26"/>
      <x:c r="J1345" s="26"/>
      <x:c r="K1345" s="26"/>
      <x:c r="L1345" s="26"/>
    </x:row>
    <x:row r="1346">
      <x:c r="A1346" s="26"/>
      <x:c r="B1346" s="26"/>
      <x:c r="C1346" s="26"/>
      <x:c r="D1346" s="26"/>
      <x:c r="E1346" s="26"/>
      <x:c r="F1346" s="26"/>
      <x:c r="G1346" s="26"/>
      <x:c r="H1346" s="26"/>
      <x:c r="I1346" s="26"/>
      <x:c r="J1346" s="26"/>
      <x:c r="K1346" s="26"/>
      <x:c r="L1346" s="26"/>
    </x:row>
    <x:row r="1347">
      <x:c r="A1347" s="26"/>
      <x:c r="B1347" s="26"/>
      <x:c r="C1347" s="26"/>
      <x:c r="D1347" s="26"/>
      <x:c r="E1347" s="26"/>
      <x:c r="F1347" s="26"/>
      <x:c r="G1347" s="26"/>
      <x:c r="H1347" s="26"/>
      <x:c r="I1347" s="26"/>
      <x:c r="J1347" s="26"/>
      <x:c r="K1347" s="26"/>
      <x:c r="L1347" s="26"/>
    </x:row>
    <x:row r="1348">
      <x:c r="A1348" s="26"/>
      <x:c r="B1348" s="26"/>
      <x:c r="C1348" s="26"/>
      <x:c r="D1348" s="26"/>
      <x:c r="E1348" s="26"/>
      <x:c r="F1348" s="26"/>
      <x:c r="G1348" s="26"/>
      <x:c r="H1348" s="26"/>
      <x:c r="I1348" s="26"/>
      <x:c r="J1348" s="26"/>
      <x:c r="K1348" s="26"/>
      <x:c r="L1348" s="26"/>
    </x:row>
    <x:row r="1349">
      <x:c r="A1349" s="26"/>
      <x:c r="B1349" s="26"/>
      <x:c r="C1349" s="26"/>
      <x:c r="D1349" s="26"/>
      <x:c r="E1349" s="26"/>
      <x:c r="F1349" s="26"/>
      <x:c r="G1349" s="26"/>
      <x:c r="H1349" s="26"/>
      <x:c r="I1349" s="26"/>
      <x:c r="J1349" s="26"/>
      <x:c r="K1349" s="26"/>
      <x:c r="L1349" s="26"/>
    </x:row>
    <x:row r="1350">
      <x:c r="A1350" s="26"/>
      <x:c r="B1350" s="26"/>
      <x:c r="C1350" s="26"/>
      <x:c r="D1350" s="26"/>
      <x:c r="E1350" s="26"/>
      <x:c r="F1350" s="26"/>
      <x:c r="G1350" s="26"/>
      <x:c r="H1350" s="26"/>
      <x:c r="I1350" s="26"/>
      <x:c r="J1350" s="26"/>
      <x:c r="K1350" s="26"/>
      <x:c r="L1350" s="26"/>
    </x:row>
    <x:row r="1351">
      <x:c r="A1351" s="26"/>
      <x:c r="B1351" s="26"/>
      <x:c r="C1351" s="26"/>
      <x:c r="D1351" s="26"/>
      <x:c r="E1351" s="26"/>
      <x:c r="F1351" s="26"/>
      <x:c r="G1351" s="26"/>
      <x:c r="H1351" s="26"/>
      <x:c r="I1351" s="26"/>
      <x:c r="J1351" s="26"/>
      <x:c r="K1351" s="26"/>
      <x:c r="L1351" s="26"/>
    </x:row>
    <x:row r="1352">
      <x:c r="A1352" s="26"/>
      <x:c r="B1352" s="26"/>
      <x:c r="C1352" s="26"/>
      <x:c r="D1352" s="26"/>
      <x:c r="E1352" s="26"/>
      <x:c r="F1352" s="26"/>
      <x:c r="G1352" s="26"/>
      <x:c r="H1352" s="26"/>
      <x:c r="I1352" s="26"/>
      <x:c r="J1352" s="26"/>
      <x:c r="K1352" s="26"/>
      <x:c r="L1352" s="26"/>
    </x:row>
    <x:row r="1353">
      <x:c r="A1353" s="26"/>
      <x:c r="B1353" s="26"/>
      <x:c r="C1353" s="26"/>
      <x:c r="D1353" s="26"/>
      <x:c r="E1353" s="26"/>
      <x:c r="F1353" s="26"/>
      <x:c r="G1353" s="26"/>
      <x:c r="H1353" s="26"/>
      <x:c r="I1353" s="26"/>
      <x:c r="J1353" s="26"/>
      <x:c r="K1353" s="26"/>
      <x:c r="L1353" s="26"/>
    </x:row>
    <x:row r="1354">
      <x:c r="A1354" s="26"/>
      <x:c r="B1354" s="26"/>
      <x:c r="C1354" s="26"/>
      <x:c r="D1354" s="26"/>
      <x:c r="E1354" s="26"/>
      <x:c r="F1354" s="26"/>
      <x:c r="G1354" s="26"/>
      <x:c r="H1354" s="26"/>
      <x:c r="I1354" s="26"/>
      <x:c r="J1354" s="26"/>
      <x:c r="K1354" s="26"/>
      <x:c r="L1354" s="26"/>
    </x:row>
    <x:row r="1355">
      <x:c r="A1355" s="26"/>
      <x:c r="B1355" s="26"/>
      <x:c r="C1355" s="26"/>
      <x:c r="D1355" s="26"/>
      <x:c r="E1355" s="26"/>
      <x:c r="F1355" s="26"/>
      <x:c r="G1355" s="26"/>
      <x:c r="H1355" s="26"/>
      <x:c r="I1355" s="26"/>
      <x:c r="J1355" s="26"/>
      <x:c r="K1355" s="26"/>
      <x:c r="L1355" s="26"/>
    </x:row>
    <x:row r="1356">
      <x:c r="A1356" s="26"/>
      <x:c r="B1356" s="26"/>
      <x:c r="C1356" s="26"/>
      <x:c r="D1356" s="26"/>
      <x:c r="E1356" s="26"/>
      <x:c r="F1356" s="26"/>
      <x:c r="G1356" s="26"/>
      <x:c r="H1356" s="26"/>
      <x:c r="I1356" s="26"/>
      <x:c r="J1356" s="26"/>
      <x:c r="K1356" s="26"/>
      <x:c r="L1356" s="26"/>
    </x:row>
    <x:row r="1357">
      <x:c r="A1357" s="26"/>
      <x:c r="B1357" s="26"/>
      <x:c r="C1357" s="26"/>
      <x:c r="D1357" s="26"/>
      <x:c r="E1357" s="26"/>
      <x:c r="F1357" s="26"/>
      <x:c r="G1357" s="26"/>
      <x:c r="H1357" s="26"/>
      <x:c r="I1357" s="26"/>
      <x:c r="J1357" s="26"/>
      <x:c r="K1357" s="26"/>
      <x:c r="L1357" s="26"/>
    </x:row>
    <x:row r="1358">
      <x:c r="A1358" s="26"/>
      <x:c r="B1358" s="26"/>
      <x:c r="C1358" s="26"/>
      <x:c r="D1358" s="26"/>
      <x:c r="E1358" s="26"/>
      <x:c r="F1358" s="26"/>
      <x:c r="G1358" s="26"/>
      <x:c r="H1358" s="26"/>
      <x:c r="I1358" s="26"/>
      <x:c r="J1358" s="26"/>
      <x:c r="K1358" s="26"/>
      <x:c r="L1358" s="26"/>
    </x:row>
    <x:row r="1359">
      <x:c r="A1359" s="26"/>
      <x:c r="B1359" s="26"/>
      <x:c r="C1359" s="26"/>
      <x:c r="D1359" s="26"/>
      <x:c r="E1359" s="26"/>
      <x:c r="F1359" s="26"/>
      <x:c r="G1359" s="26"/>
      <x:c r="H1359" s="26"/>
      <x:c r="I1359" s="26"/>
      <x:c r="J1359" s="26"/>
      <x:c r="K1359" s="26"/>
      <x:c r="L1359" s="26"/>
    </x:row>
    <x:row r="1360">
      <x:c r="A1360" s="26"/>
      <x:c r="B1360" s="26"/>
      <x:c r="C1360" s="26"/>
      <x:c r="D1360" s="26"/>
      <x:c r="E1360" s="26"/>
      <x:c r="F1360" s="26"/>
      <x:c r="G1360" s="26"/>
      <x:c r="H1360" s="26"/>
      <x:c r="I1360" s="26"/>
      <x:c r="J1360" s="26"/>
      <x:c r="K1360" s="26"/>
      <x:c r="L1360" s="26"/>
    </x:row>
    <x:row r="1361">
      <x:c r="A1361" s="26"/>
      <x:c r="B1361" s="26"/>
      <x:c r="C1361" s="26"/>
      <x:c r="D1361" s="26"/>
      <x:c r="E1361" s="26"/>
      <x:c r="F1361" s="26"/>
      <x:c r="G1361" s="26"/>
      <x:c r="H1361" s="26"/>
      <x:c r="I1361" s="26"/>
      <x:c r="J1361" s="26"/>
      <x:c r="K1361" s="26"/>
      <x:c r="L1361" s="26"/>
    </x:row>
    <x:row r="1362">
      <x:c r="A1362" s="26"/>
      <x:c r="B1362" s="26"/>
      <x:c r="C1362" s="26"/>
      <x:c r="D1362" s="26"/>
      <x:c r="E1362" s="26"/>
      <x:c r="F1362" s="26"/>
      <x:c r="G1362" s="26"/>
      <x:c r="H1362" s="26"/>
      <x:c r="I1362" s="26"/>
      <x:c r="J1362" s="26"/>
      <x:c r="K1362" s="26"/>
      <x:c r="L1362" s="26"/>
    </x:row>
    <x:row r="1363">
      <x:c r="A1363" s="26"/>
      <x:c r="B1363" s="26"/>
      <x:c r="C1363" s="26"/>
      <x:c r="D1363" s="26"/>
      <x:c r="E1363" s="26"/>
      <x:c r="F1363" s="26"/>
      <x:c r="G1363" s="26"/>
      <x:c r="H1363" s="26"/>
      <x:c r="I1363" s="26"/>
      <x:c r="J1363" s="26"/>
      <x:c r="K1363" s="26"/>
      <x:c r="L1363" s="26"/>
    </x:row>
    <x:row r="1364">
      <x:c r="A1364" s="26"/>
      <x:c r="B1364" s="26"/>
      <x:c r="C1364" s="26"/>
      <x:c r="D1364" s="26"/>
      <x:c r="E1364" s="26"/>
      <x:c r="F1364" s="26"/>
      <x:c r="G1364" s="26"/>
      <x:c r="H1364" s="26"/>
      <x:c r="I1364" s="26"/>
      <x:c r="J1364" s="26"/>
      <x:c r="K1364" s="26"/>
      <x:c r="L1364" s="26"/>
    </x:row>
    <x:row r="1365">
      <x:c r="A1365" s="26"/>
      <x:c r="B1365" s="26"/>
      <x:c r="C1365" s="26"/>
      <x:c r="D1365" s="26"/>
      <x:c r="E1365" s="26"/>
      <x:c r="F1365" s="26"/>
      <x:c r="G1365" s="26"/>
      <x:c r="H1365" s="26"/>
      <x:c r="I1365" s="26"/>
      <x:c r="J1365" s="26"/>
      <x:c r="K1365" s="26"/>
      <x:c r="L1365" s="26"/>
    </x:row>
    <x:row r="1366">
      <x:c r="A1366" s="26"/>
      <x:c r="B1366" s="26"/>
      <x:c r="C1366" s="26"/>
      <x:c r="D1366" s="26"/>
      <x:c r="E1366" s="26"/>
      <x:c r="F1366" s="26"/>
      <x:c r="G1366" s="26"/>
      <x:c r="H1366" s="26"/>
      <x:c r="I1366" s="26"/>
      <x:c r="J1366" s="26"/>
      <x:c r="K1366" s="26"/>
      <x:c r="L1366" s="26"/>
    </x:row>
    <x:row r="1367">
      <x:c r="A1367" s="26"/>
      <x:c r="B1367" s="26"/>
      <x:c r="C1367" s="26"/>
      <x:c r="D1367" s="26"/>
      <x:c r="E1367" s="26"/>
      <x:c r="F1367" s="26"/>
      <x:c r="G1367" s="26"/>
      <x:c r="H1367" s="26"/>
      <x:c r="I1367" s="26"/>
      <x:c r="J1367" s="26"/>
      <x:c r="K1367" s="26"/>
      <x:c r="L1367" s="26"/>
    </x:row>
    <x:row r="1368">
      <x:c r="A1368" s="26"/>
      <x:c r="B1368" s="26"/>
      <x:c r="C1368" s="26"/>
      <x:c r="D1368" s="26"/>
      <x:c r="E1368" s="26"/>
      <x:c r="F1368" s="26"/>
      <x:c r="G1368" s="26"/>
      <x:c r="H1368" s="26"/>
      <x:c r="I1368" s="26"/>
      <x:c r="J1368" s="26"/>
      <x:c r="K1368" s="26"/>
      <x:c r="L1368" s="26"/>
    </x:row>
    <x:row r="1369">
      <x:c r="A1369" s="26"/>
      <x:c r="B1369" s="26"/>
      <x:c r="C1369" s="26"/>
      <x:c r="D1369" s="26"/>
      <x:c r="E1369" s="26"/>
      <x:c r="F1369" s="26"/>
      <x:c r="G1369" s="26"/>
      <x:c r="H1369" s="26"/>
      <x:c r="I1369" s="26"/>
      <x:c r="J1369" s="26"/>
      <x:c r="K1369" s="26"/>
      <x:c r="L1369" s="26"/>
    </x:row>
    <x:row r="1370">
      <x:c r="A1370" s="26"/>
      <x:c r="B1370" s="26"/>
      <x:c r="C1370" s="26"/>
      <x:c r="D1370" s="26"/>
      <x:c r="E1370" s="26"/>
      <x:c r="F1370" s="26"/>
      <x:c r="G1370" s="26"/>
      <x:c r="H1370" s="26"/>
      <x:c r="I1370" s="26"/>
      <x:c r="J1370" s="26"/>
      <x:c r="K1370" s="26"/>
      <x:c r="L1370" s="26"/>
    </x:row>
    <x:row r="1371">
      <x:c r="A1371" s="26"/>
      <x:c r="B1371" s="26"/>
      <x:c r="C1371" s="26"/>
      <x:c r="D1371" s="26"/>
      <x:c r="E1371" s="26"/>
      <x:c r="F1371" s="26"/>
      <x:c r="G1371" s="26"/>
      <x:c r="H1371" s="26"/>
      <x:c r="I1371" s="26"/>
      <x:c r="J1371" s="26"/>
      <x:c r="K1371" s="26"/>
      <x:c r="L1371" s="26"/>
    </x:row>
    <x:row r="1372">
      <x:c r="A1372" s="26"/>
      <x:c r="B1372" s="26"/>
      <x:c r="C1372" s="26"/>
      <x:c r="D1372" s="26"/>
      <x:c r="E1372" s="26"/>
      <x:c r="F1372" s="26"/>
      <x:c r="G1372" s="26"/>
      <x:c r="H1372" s="26"/>
      <x:c r="I1372" s="26"/>
      <x:c r="J1372" s="26"/>
      <x:c r="K1372" s="26"/>
      <x:c r="L1372" s="26"/>
    </x:row>
    <x:row r="1373">
      <x:c r="A1373" s="26"/>
      <x:c r="B1373" s="26"/>
      <x:c r="C1373" s="26"/>
      <x:c r="D1373" s="26"/>
      <x:c r="E1373" s="26"/>
      <x:c r="F1373" s="26"/>
      <x:c r="G1373" s="26"/>
      <x:c r="H1373" s="26"/>
      <x:c r="I1373" s="26"/>
      <x:c r="J1373" s="26"/>
      <x:c r="K1373" s="26"/>
      <x:c r="L1373" s="26"/>
    </x:row>
    <x:row r="1374">
      <x:c r="A1374" s="26"/>
      <x:c r="B1374" s="26"/>
      <x:c r="C1374" s="26"/>
      <x:c r="D1374" s="26"/>
      <x:c r="E1374" s="26"/>
      <x:c r="F1374" s="26"/>
      <x:c r="G1374" s="26"/>
      <x:c r="H1374" s="26"/>
      <x:c r="I1374" s="26"/>
      <x:c r="J1374" s="26"/>
      <x:c r="K1374" s="26"/>
      <x:c r="L1374" s="26"/>
    </x:row>
    <x:row r="1375">
      <x:c r="A1375" s="26"/>
      <x:c r="B1375" s="26"/>
      <x:c r="C1375" s="26"/>
      <x:c r="D1375" s="26"/>
      <x:c r="E1375" s="26"/>
      <x:c r="F1375" s="26"/>
      <x:c r="G1375" s="26"/>
      <x:c r="H1375" s="26"/>
      <x:c r="I1375" s="26"/>
      <x:c r="J1375" s="26"/>
      <x:c r="K1375" s="26"/>
      <x:c r="L1375" s="26"/>
    </x:row>
    <x:row r="1376">
      <x:c r="A1376" s="26"/>
      <x:c r="B1376" s="26"/>
      <x:c r="C1376" s="26"/>
      <x:c r="D1376" s="26"/>
      <x:c r="E1376" s="26"/>
      <x:c r="F1376" s="26"/>
      <x:c r="G1376" s="26"/>
      <x:c r="H1376" s="26"/>
      <x:c r="I1376" s="26"/>
      <x:c r="J1376" s="26"/>
      <x:c r="K1376" s="26"/>
      <x:c r="L1376" s="26"/>
    </x:row>
    <x:row r="1377">
      <x:c r="A1377" s="26"/>
      <x:c r="B1377" s="26"/>
      <x:c r="C1377" s="26"/>
      <x:c r="D1377" s="26"/>
      <x:c r="E1377" s="26"/>
      <x:c r="F1377" s="26"/>
      <x:c r="G1377" s="26"/>
      <x:c r="H1377" s="26"/>
      <x:c r="I1377" s="26"/>
      <x:c r="J1377" s="26"/>
      <x:c r="K1377" s="26"/>
      <x:c r="L1377" s="26"/>
    </x:row>
    <x:row r="1378">
      <x:c r="A1378" s="26"/>
      <x:c r="B1378" s="26"/>
      <x:c r="C1378" s="26"/>
      <x:c r="D1378" s="26"/>
      <x:c r="E1378" s="26"/>
      <x:c r="F1378" s="26"/>
      <x:c r="G1378" s="26"/>
      <x:c r="H1378" s="26"/>
      <x:c r="I1378" s="26"/>
      <x:c r="J1378" s="26"/>
      <x:c r="K1378" s="26"/>
      <x:c r="L1378" s="26"/>
    </x:row>
    <x:row r="1379">
      <x:c r="A1379" s="26"/>
      <x:c r="B1379" s="26"/>
      <x:c r="C1379" s="26"/>
      <x:c r="D1379" s="26"/>
      <x:c r="E1379" s="26"/>
      <x:c r="F1379" s="26"/>
      <x:c r="G1379" s="26"/>
      <x:c r="H1379" s="26"/>
      <x:c r="I1379" s="26"/>
      <x:c r="J1379" s="26"/>
      <x:c r="K1379" s="26"/>
      <x:c r="L1379" s="26"/>
    </x:row>
    <x:row r="1380">
      <x:c r="A1380" s="26"/>
      <x:c r="B1380" s="26"/>
      <x:c r="C1380" s="26"/>
      <x:c r="D1380" s="26"/>
      <x:c r="E1380" s="26"/>
      <x:c r="F1380" s="26"/>
      <x:c r="G1380" s="26"/>
      <x:c r="H1380" s="26"/>
      <x:c r="I1380" s="26"/>
      <x:c r="J1380" s="26"/>
      <x:c r="K1380" s="26"/>
      <x:c r="L1380" s="26"/>
    </x:row>
    <x:row r="1381">
      <x:c r="A1381" s="26"/>
      <x:c r="B1381" s="26"/>
      <x:c r="C1381" s="26"/>
      <x:c r="D1381" s="26"/>
      <x:c r="E1381" s="26"/>
      <x:c r="F1381" s="26"/>
      <x:c r="G1381" s="26"/>
      <x:c r="H1381" s="26"/>
      <x:c r="I1381" s="26"/>
      <x:c r="J1381" s="26"/>
      <x:c r="K1381" s="26"/>
      <x:c r="L1381" s="26"/>
    </x:row>
    <x:row r="1382">
      <x:c r="A1382" s="26"/>
      <x:c r="B1382" s="26"/>
      <x:c r="C1382" s="26"/>
      <x:c r="D1382" s="26"/>
      <x:c r="E1382" s="26"/>
      <x:c r="F1382" s="26"/>
      <x:c r="G1382" s="26"/>
      <x:c r="H1382" s="26"/>
      <x:c r="I1382" s="26"/>
      <x:c r="J1382" s="26"/>
      <x:c r="K1382" s="26"/>
      <x:c r="L1382" s="26"/>
    </x:row>
    <x:row r="1383">
      <x:c r="A1383" s="26"/>
      <x:c r="B1383" s="26"/>
      <x:c r="C1383" s="26"/>
      <x:c r="D1383" s="26"/>
      <x:c r="E1383" s="26"/>
      <x:c r="F1383" s="26"/>
      <x:c r="G1383" s="26"/>
      <x:c r="H1383" s="26"/>
      <x:c r="I1383" s="26"/>
      <x:c r="J1383" s="26"/>
      <x:c r="K1383" s="26"/>
      <x:c r="L1383" s="26"/>
    </x:row>
    <x:row r="1384">
      <x:c r="A1384" s="26"/>
      <x:c r="B1384" s="26"/>
      <x:c r="C1384" s="26"/>
      <x:c r="D1384" s="26"/>
      <x:c r="E1384" s="26"/>
      <x:c r="F1384" s="26"/>
      <x:c r="G1384" s="26"/>
      <x:c r="H1384" s="26"/>
      <x:c r="I1384" s="26"/>
      <x:c r="J1384" s="26"/>
      <x:c r="K1384" s="26"/>
      <x:c r="L1384" s="26"/>
    </x:row>
    <x:row r="1385">
      <x:c r="A1385" s="26"/>
      <x:c r="B1385" s="26"/>
      <x:c r="C1385" s="26"/>
      <x:c r="D1385" s="26"/>
      <x:c r="E1385" s="26"/>
      <x:c r="F1385" s="26"/>
      <x:c r="G1385" s="26"/>
      <x:c r="H1385" s="26"/>
      <x:c r="I1385" s="26"/>
      <x:c r="J1385" s="26"/>
      <x:c r="K1385" s="26"/>
      <x:c r="L1385" s="26"/>
    </x:row>
    <x:row r="1386">
      <x:c r="A1386" s="26"/>
      <x:c r="B1386" s="26"/>
      <x:c r="C1386" s="26"/>
      <x:c r="D1386" s="26"/>
      <x:c r="E1386" s="26"/>
      <x:c r="F1386" s="26"/>
      <x:c r="G1386" s="26"/>
      <x:c r="H1386" s="26"/>
      <x:c r="I1386" s="26"/>
      <x:c r="J1386" s="26"/>
      <x:c r="K1386" s="26"/>
      <x:c r="L1386" s="26"/>
    </x:row>
    <x:row r="1387">
      <x:c r="A1387" s="26"/>
      <x:c r="B1387" s="26"/>
      <x:c r="C1387" s="26"/>
      <x:c r="D1387" s="26"/>
      <x:c r="E1387" s="26"/>
      <x:c r="F1387" s="26"/>
      <x:c r="G1387" s="26"/>
      <x:c r="H1387" s="26"/>
      <x:c r="I1387" s="26"/>
      <x:c r="J1387" s="26"/>
      <x:c r="K1387" s="26"/>
      <x:c r="L1387" s="26"/>
    </x:row>
    <x:row r="1388">
      <x:c r="A1388" s="26"/>
      <x:c r="B1388" s="26"/>
      <x:c r="C1388" s="26"/>
      <x:c r="D1388" s="26"/>
      <x:c r="E1388" s="26"/>
      <x:c r="F1388" s="26"/>
      <x:c r="G1388" s="26"/>
      <x:c r="H1388" s="26"/>
      <x:c r="I1388" s="26"/>
      <x:c r="J1388" s="26"/>
      <x:c r="K1388" s="26"/>
      <x:c r="L1388" s="26"/>
    </x:row>
    <x:row r="1389">
      <x:c r="A1389" s="26"/>
      <x:c r="B1389" s="26"/>
      <x:c r="C1389" s="26"/>
      <x:c r="D1389" s="26"/>
      <x:c r="E1389" s="26"/>
      <x:c r="F1389" s="26"/>
      <x:c r="G1389" s="26"/>
      <x:c r="H1389" s="26"/>
      <x:c r="I1389" s="26"/>
      <x:c r="J1389" s="26"/>
      <x:c r="K1389" s="26"/>
      <x:c r="L1389" s="26"/>
    </x:row>
    <x:row r="1390">
      <x:c r="A1390" s="26"/>
      <x:c r="B1390" s="26"/>
      <x:c r="C1390" s="26"/>
      <x:c r="D1390" s="26"/>
      <x:c r="E1390" s="26"/>
      <x:c r="F1390" s="26"/>
      <x:c r="G1390" s="26"/>
      <x:c r="H1390" s="26"/>
      <x:c r="I1390" s="26"/>
      <x:c r="J1390" s="26"/>
      <x:c r="K1390" s="26"/>
      <x:c r="L1390" s="26"/>
    </x:row>
    <x:row r="1391">
      <x:c r="A1391" s="26"/>
      <x:c r="B1391" s="26"/>
      <x:c r="C1391" s="26"/>
      <x:c r="D1391" s="26"/>
      <x:c r="E1391" s="26"/>
      <x:c r="F1391" s="26"/>
      <x:c r="G1391" s="26"/>
      <x:c r="H1391" s="26"/>
      <x:c r="I1391" s="26"/>
      <x:c r="J1391" s="26"/>
      <x:c r="K1391" s="26"/>
      <x:c r="L1391" s="26"/>
    </x:row>
    <x:row r="1392">
      <x:c r="A1392" s="26"/>
      <x:c r="B1392" s="26"/>
      <x:c r="C1392" s="26"/>
      <x:c r="D1392" s="26"/>
      <x:c r="E1392" s="26"/>
      <x:c r="F1392" s="26"/>
      <x:c r="G1392" s="26"/>
      <x:c r="H1392" s="26"/>
      <x:c r="I1392" s="26"/>
      <x:c r="J1392" s="26"/>
      <x:c r="K1392" s="26"/>
      <x:c r="L1392" s="26"/>
    </x:row>
    <x:row r="1393">
      <x:c r="A1393" s="26"/>
      <x:c r="B1393" s="26"/>
      <x:c r="C1393" s="26"/>
      <x:c r="D1393" s="26"/>
      <x:c r="E1393" s="26"/>
      <x:c r="F1393" s="26"/>
      <x:c r="G1393" s="26"/>
      <x:c r="H1393" s="26"/>
      <x:c r="I1393" s="26"/>
      <x:c r="J1393" s="26"/>
      <x:c r="K1393" s="26"/>
      <x:c r="L1393" s="26"/>
    </x:row>
    <x:row r="1394">
      <x:c r="A1394" s="26"/>
      <x:c r="B1394" s="26"/>
      <x:c r="C1394" s="26"/>
      <x:c r="D1394" s="26"/>
      <x:c r="E1394" s="26"/>
      <x:c r="F1394" s="26"/>
      <x:c r="G1394" s="26"/>
      <x:c r="H1394" s="26"/>
      <x:c r="I1394" s="26"/>
      <x:c r="J1394" s="26"/>
      <x:c r="K1394" s="26"/>
      <x:c r="L1394" s="26"/>
    </x:row>
    <x:row r="1395">
      <x:c r="A1395" s="26"/>
      <x:c r="B1395" s="26"/>
      <x:c r="C1395" s="26"/>
      <x:c r="D1395" s="26"/>
      <x:c r="E1395" s="26"/>
      <x:c r="F1395" s="26"/>
      <x:c r="G1395" s="26"/>
      <x:c r="H1395" s="26"/>
      <x:c r="I1395" s="26"/>
      <x:c r="J1395" s="26"/>
      <x:c r="K1395" s="26"/>
      <x:c r="L1395" s="26"/>
    </x:row>
    <x:row r="1396">
      <x:c r="A1396" s="26"/>
      <x:c r="B1396" s="26"/>
      <x:c r="C1396" s="26"/>
      <x:c r="D1396" s="26"/>
      <x:c r="E1396" s="26"/>
      <x:c r="F1396" s="26"/>
      <x:c r="G1396" s="26"/>
      <x:c r="H1396" s="26"/>
      <x:c r="I1396" s="26"/>
      <x:c r="J1396" s="26"/>
      <x:c r="K1396" s="26"/>
      <x:c r="L1396" s="26"/>
    </x:row>
    <x:row r="1397">
      <x:c r="A1397" s="26"/>
      <x:c r="B1397" s="26"/>
      <x:c r="C1397" s="26"/>
      <x:c r="D1397" s="26"/>
      <x:c r="E1397" s="26"/>
      <x:c r="F1397" s="26"/>
      <x:c r="G1397" s="26"/>
      <x:c r="H1397" s="26"/>
      <x:c r="I1397" s="26"/>
      <x:c r="J1397" s="26"/>
      <x:c r="K1397" s="26"/>
      <x:c r="L1397" s="26"/>
    </x:row>
    <x:row r="1398">
      <x:c r="A1398" s="26"/>
      <x:c r="B1398" s="26"/>
      <x:c r="C1398" s="26"/>
      <x:c r="D1398" s="26"/>
      <x:c r="E1398" s="26"/>
      <x:c r="F1398" s="26"/>
      <x:c r="G1398" s="26"/>
      <x:c r="H1398" s="26"/>
      <x:c r="I1398" s="26"/>
      <x:c r="J1398" s="26"/>
      <x:c r="K1398" s="26"/>
      <x:c r="L1398" s="26"/>
    </x:row>
    <x:row r="1399">
      <x:c r="A1399" s="26"/>
      <x:c r="B1399" s="26"/>
      <x:c r="C1399" s="26"/>
      <x:c r="D1399" s="26"/>
      <x:c r="E1399" s="26"/>
      <x:c r="F1399" s="26"/>
      <x:c r="G1399" s="26"/>
      <x:c r="H1399" s="26"/>
      <x:c r="I1399" s="26"/>
      <x:c r="J1399" s="26"/>
      <x:c r="K1399" s="26"/>
      <x:c r="L1399" s="26"/>
    </x:row>
    <x:row r="1400">
      <x:c r="A1400" s="26"/>
      <x:c r="B1400" s="26"/>
      <x:c r="C1400" s="26"/>
      <x:c r="D1400" s="26"/>
      <x:c r="E1400" s="26"/>
      <x:c r="F1400" s="26"/>
      <x:c r="G1400" s="26"/>
      <x:c r="H1400" s="26"/>
      <x:c r="I1400" s="26"/>
      <x:c r="J1400" s="26"/>
      <x:c r="K1400" s="26"/>
      <x:c r="L1400" s="26"/>
    </x:row>
    <x:row r="1401">
      <x:c r="A1401" s="26"/>
      <x:c r="B1401" s="26"/>
      <x:c r="C1401" s="26"/>
      <x:c r="D1401" s="26"/>
      <x:c r="E1401" s="26"/>
      <x:c r="F1401" s="26"/>
      <x:c r="G1401" s="26"/>
      <x:c r="H1401" s="26"/>
      <x:c r="I1401" s="26"/>
      <x:c r="J1401" s="26"/>
      <x:c r="K1401" s="26"/>
      <x:c r="L1401" s="26"/>
    </x:row>
    <x:row r="1402">
      <x:c r="A1402" s="26"/>
      <x:c r="B1402" s="26"/>
      <x:c r="C1402" s="26"/>
      <x:c r="D1402" s="26"/>
      <x:c r="E1402" s="26"/>
      <x:c r="F1402" s="26"/>
      <x:c r="G1402" s="26"/>
      <x:c r="H1402" s="26"/>
      <x:c r="I1402" s="26"/>
      <x:c r="J1402" s="26"/>
      <x:c r="K1402" s="26"/>
      <x:c r="L1402" s="26"/>
    </x:row>
    <x:row r="1403">
      <x:c r="A1403" s="26"/>
      <x:c r="B1403" s="26"/>
      <x:c r="C1403" s="26"/>
      <x:c r="D1403" s="26"/>
      <x:c r="E1403" s="26"/>
      <x:c r="F1403" s="26"/>
      <x:c r="G1403" s="26"/>
      <x:c r="H1403" s="26"/>
      <x:c r="I1403" s="26"/>
      <x:c r="J1403" s="26"/>
      <x:c r="K1403" s="26"/>
      <x:c r="L1403" s="26"/>
    </x:row>
    <x:row r="1404">
      <x:c r="A1404" s="26"/>
      <x:c r="B1404" s="26"/>
      <x:c r="C1404" s="26"/>
      <x:c r="D1404" s="26"/>
      <x:c r="E1404" s="26"/>
      <x:c r="F1404" s="26"/>
      <x:c r="G1404" s="26"/>
      <x:c r="H1404" s="26"/>
      <x:c r="I1404" s="26"/>
      <x:c r="J1404" s="26"/>
      <x:c r="K1404" s="26"/>
      <x:c r="L1404" s="26"/>
    </x:row>
    <x:row r="1405">
      <x:c r="A1405" s="26"/>
      <x:c r="B1405" s="26"/>
      <x:c r="C1405" s="26"/>
      <x:c r="D1405" s="26"/>
      <x:c r="E1405" s="26"/>
      <x:c r="F1405" s="26"/>
      <x:c r="G1405" s="26"/>
      <x:c r="H1405" s="26"/>
      <x:c r="I1405" s="26"/>
      <x:c r="J1405" s="26"/>
      <x:c r="K1405" s="26"/>
      <x:c r="L1405" s="26"/>
    </x:row>
    <x:row r="1406">
      <x:c r="A1406" s="26"/>
      <x:c r="B1406" s="26"/>
      <x:c r="C1406" s="26"/>
      <x:c r="D1406" s="26"/>
      <x:c r="E1406" s="26"/>
      <x:c r="F1406" s="26"/>
      <x:c r="G1406" s="26"/>
      <x:c r="H1406" s="26"/>
      <x:c r="I1406" s="26"/>
      <x:c r="J1406" s="26"/>
      <x:c r="K1406" s="26"/>
      <x:c r="L1406" s="26"/>
    </x:row>
    <x:row r="1407">
      <x:c r="A1407" s="26"/>
      <x:c r="B1407" s="26"/>
      <x:c r="C1407" s="26"/>
      <x:c r="D1407" s="26"/>
      <x:c r="E1407" s="26"/>
      <x:c r="F1407" s="26"/>
      <x:c r="G1407" s="26"/>
      <x:c r="H1407" s="26"/>
      <x:c r="I1407" s="26"/>
      <x:c r="J1407" s="26"/>
      <x:c r="K1407" s="26"/>
      <x:c r="L1407" s="26"/>
    </x:row>
    <x:row r="1408">
      <x:c r="A1408" s="26"/>
      <x:c r="B1408" s="26"/>
      <x:c r="C1408" s="26"/>
      <x:c r="D1408" s="26"/>
      <x:c r="E1408" s="26"/>
      <x:c r="F1408" s="26"/>
      <x:c r="G1408" s="26"/>
      <x:c r="H1408" s="26"/>
      <x:c r="I1408" s="26"/>
      <x:c r="J1408" s="26"/>
      <x:c r="K1408" s="26"/>
      <x:c r="L1408" s="26"/>
    </x:row>
    <x:row r="1409">
      <x:c r="A1409" s="26"/>
      <x:c r="B1409" s="26"/>
      <x:c r="C1409" s="26"/>
      <x:c r="D1409" s="26"/>
      <x:c r="E1409" s="26"/>
      <x:c r="F1409" s="26"/>
      <x:c r="G1409" s="26"/>
      <x:c r="H1409" s="26"/>
      <x:c r="I1409" s="26"/>
      <x:c r="J1409" s="26"/>
      <x:c r="K1409" s="26"/>
      <x:c r="L1409" s="26"/>
    </x:row>
    <x:row r="1410">
      <x:c r="A1410" s="26"/>
      <x:c r="B1410" s="26"/>
      <x:c r="C1410" s="26"/>
      <x:c r="D1410" s="26"/>
      <x:c r="E1410" s="26"/>
      <x:c r="F1410" s="26"/>
      <x:c r="G1410" s="26"/>
      <x:c r="H1410" s="26"/>
      <x:c r="I1410" s="26"/>
      <x:c r="J1410" s="26"/>
      <x:c r="K1410" s="26"/>
      <x:c r="L1410" s="26"/>
    </x:row>
    <x:row r="1411">
      <x:c r="A1411" s="26"/>
      <x:c r="B1411" s="26"/>
      <x:c r="C1411" s="26"/>
      <x:c r="D1411" s="26"/>
      <x:c r="E1411" s="26"/>
      <x:c r="F1411" s="26"/>
      <x:c r="G1411" s="26"/>
      <x:c r="H1411" s="26"/>
      <x:c r="I1411" s="26"/>
      <x:c r="J1411" s="26"/>
      <x:c r="K1411" s="26"/>
      <x:c r="L1411" s="26"/>
    </x:row>
    <x:row r="1412">
      <x:c r="A1412" s="26"/>
      <x:c r="B1412" s="26"/>
      <x:c r="C1412" s="26"/>
      <x:c r="D1412" s="26"/>
      <x:c r="E1412" s="26"/>
      <x:c r="F1412" s="26"/>
      <x:c r="G1412" s="26"/>
      <x:c r="H1412" s="26"/>
      <x:c r="I1412" s="26"/>
      <x:c r="J1412" s="26"/>
      <x:c r="K1412" s="26"/>
      <x:c r="L1412" s="26"/>
    </x:row>
    <x:row r="1413">
      <x:c r="A1413" s="26"/>
      <x:c r="B1413" s="26"/>
      <x:c r="C1413" s="26"/>
      <x:c r="D1413" s="26"/>
      <x:c r="E1413" s="26"/>
      <x:c r="F1413" s="26"/>
      <x:c r="G1413" s="26"/>
      <x:c r="H1413" s="26"/>
      <x:c r="I1413" s="26"/>
      <x:c r="J1413" s="26"/>
      <x:c r="K1413" s="26"/>
      <x:c r="L1413" s="26"/>
    </x:row>
    <x:row r="1414">
      <x:c r="A1414" s="26"/>
      <x:c r="B1414" s="26"/>
      <x:c r="C1414" s="26"/>
      <x:c r="D1414" s="26"/>
      <x:c r="E1414" s="26"/>
      <x:c r="F1414" s="26"/>
      <x:c r="G1414" s="26"/>
      <x:c r="H1414" s="26"/>
      <x:c r="I1414" s="26"/>
      <x:c r="J1414" s="26"/>
      <x:c r="K1414" s="26"/>
      <x:c r="L1414" s="26"/>
    </x:row>
    <x:row r="1415">
      <x:c r="A1415" s="26"/>
      <x:c r="B1415" s="26"/>
      <x:c r="C1415" s="26"/>
      <x:c r="D1415" s="26"/>
      <x:c r="E1415" s="26"/>
      <x:c r="F1415" s="26"/>
      <x:c r="G1415" s="26"/>
      <x:c r="H1415" s="26"/>
      <x:c r="I1415" s="26"/>
      <x:c r="J1415" s="26"/>
      <x:c r="K1415" s="26"/>
      <x:c r="L1415" s="26"/>
    </x:row>
    <x:row r="1416">
      <x:c r="A1416" s="26"/>
      <x:c r="B1416" s="26"/>
      <x:c r="C1416" s="26"/>
      <x:c r="D1416" s="26"/>
      <x:c r="E1416" s="26"/>
      <x:c r="F1416" s="26"/>
      <x:c r="G1416" s="26"/>
      <x:c r="H1416" s="26"/>
      <x:c r="I1416" s="26"/>
      <x:c r="J1416" s="26"/>
      <x:c r="K1416" s="26"/>
      <x:c r="L1416" s="26"/>
    </x:row>
    <x:row r="1417">
      <x:c r="A1417" s="26"/>
      <x:c r="B1417" s="26"/>
      <x:c r="C1417" s="26"/>
      <x:c r="D1417" s="26"/>
      <x:c r="E1417" s="26"/>
      <x:c r="F1417" s="26"/>
      <x:c r="G1417" s="26"/>
      <x:c r="H1417" s="26"/>
      <x:c r="I1417" s="26"/>
      <x:c r="J1417" s="26"/>
      <x:c r="K1417" s="26"/>
      <x:c r="L1417" s="26"/>
    </x:row>
    <x:row r="1418">
      <x:c r="A1418" s="26"/>
      <x:c r="B1418" s="26"/>
      <x:c r="C1418" s="26"/>
      <x:c r="D1418" s="26"/>
      <x:c r="E1418" s="26"/>
      <x:c r="F1418" s="26"/>
      <x:c r="G1418" s="26"/>
      <x:c r="H1418" s="26"/>
      <x:c r="I1418" s="26"/>
      <x:c r="J1418" s="26"/>
      <x:c r="K1418" s="26"/>
      <x:c r="L1418" s="26"/>
    </x:row>
    <x:row r="1419">
      <x:c r="A1419" s="26"/>
      <x:c r="B1419" s="26"/>
      <x:c r="C1419" s="26"/>
      <x:c r="D1419" s="26"/>
      <x:c r="E1419" s="26"/>
      <x:c r="F1419" s="26"/>
      <x:c r="G1419" s="26"/>
      <x:c r="H1419" s="26"/>
      <x:c r="I1419" s="26"/>
      <x:c r="J1419" s="26"/>
      <x:c r="K1419" s="26"/>
      <x:c r="L1419" s="26"/>
    </x:row>
    <x:row r="1420">
      <x:c r="A1420" s="26"/>
      <x:c r="B1420" s="26"/>
      <x:c r="C1420" s="26"/>
      <x:c r="D1420" s="26"/>
      <x:c r="E1420" s="26"/>
      <x:c r="F1420" s="26"/>
      <x:c r="G1420" s="26"/>
      <x:c r="H1420" s="26"/>
      <x:c r="I1420" s="26"/>
      <x:c r="J1420" s="26"/>
      <x:c r="K1420" s="26"/>
      <x:c r="L1420" s="26"/>
    </x:row>
    <x:row r="1421">
      <x:c r="A1421" s="26"/>
      <x:c r="B1421" s="26"/>
      <x:c r="C1421" s="26"/>
      <x:c r="D1421" s="26"/>
      <x:c r="E1421" s="26"/>
      <x:c r="F1421" s="26"/>
      <x:c r="G1421" s="26"/>
      <x:c r="H1421" s="26"/>
      <x:c r="I1421" s="26"/>
      <x:c r="J1421" s="26"/>
      <x:c r="K1421" s="26"/>
      <x:c r="L1421" s="26"/>
    </x:row>
    <x:row r="1422">
      <x:c r="A1422" s="26"/>
      <x:c r="B1422" s="26"/>
      <x:c r="C1422" s="26"/>
      <x:c r="D1422" s="26"/>
      <x:c r="E1422" s="26"/>
      <x:c r="F1422" s="26"/>
      <x:c r="G1422" s="26"/>
      <x:c r="H1422" s="26"/>
      <x:c r="I1422" s="26"/>
      <x:c r="J1422" s="26"/>
      <x:c r="K1422" s="26"/>
      <x:c r="L1422" s="26"/>
    </x:row>
    <x:row r="1423">
      <x:c r="A1423" s="26"/>
      <x:c r="B1423" s="26"/>
      <x:c r="C1423" s="26"/>
      <x:c r="D1423" s="26"/>
      <x:c r="E1423" s="26"/>
      <x:c r="F1423" s="26"/>
      <x:c r="G1423" s="26"/>
      <x:c r="H1423" s="26"/>
      <x:c r="I1423" s="26"/>
      <x:c r="J1423" s="26"/>
      <x:c r="K1423" s="26"/>
      <x:c r="L1423" s="26"/>
    </x:row>
    <x:row r="1424">
      <x:c r="A1424" s="26"/>
      <x:c r="B1424" s="26"/>
      <x:c r="C1424" s="26"/>
      <x:c r="D1424" s="26"/>
      <x:c r="E1424" s="26"/>
      <x:c r="F1424" s="26"/>
      <x:c r="G1424" s="26"/>
      <x:c r="H1424" s="26"/>
      <x:c r="I1424" s="26"/>
      <x:c r="J1424" s="26"/>
      <x:c r="K1424" s="26"/>
      <x:c r="L1424" s="26"/>
    </x:row>
    <x:row r="1425">
      <x:c r="A1425" s="26"/>
      <x:c r="B1425" s="26"/>
      <x:c r="C1425" s="26"/>
      <x:c r="D1425" s="26"/>
      <x:c r="E1425" s="26"/>
      <x:c r="F1425" s="26"/>
      <x:c r="G1425" s="26"/>
      <x:c r="H1425" s="26"/>
      <x:c r="I1425" s="26"/>
      <x:c r="J1425" s="26"/>
      <x:c r="K1425" s="26"/>
      <x:c r="L1425" s="26"/>
    </x:row>
    <x:row r="1426">
      <x:c r="A1426" s="26"/>
      <x:c r="B1426" s="26"/>
      <x:c r="C1426" s="26"/>
      <x:c r="D1426" s="26"/>
      <x:c r="E1426" s="26"/>
      <x:c r="F1426" s="26"/>
      <x:c r="G1426" s="26"/>
      <x:c r="H1426" s="26"/>
      <x:c r="I1426" s="26"/>
      <x:c r="J1426" s="26"/>
      <x:c r="K1426" s="26"/>
      <x:c r="L1426" s="26"/>
    </x:row>
    <x:row r="1427">
      <x:c r="A1427" s="26"/>
      <x:c r="B1427" s="26"/>
      <x:c r="C1427" s="26"/>
      <x:c r="D1427" s="26"/>
      <x:c r="E1427" s="26"/>
      <x:c r="F1427" s="26"/>
      <x:c r="G1427" s="26"/>
      <x:c r="H1427" s="26"/>
      <x:c r="I1427" s="26"/>
      <x:c r="J1427" s="26"/>
      <x:c r="K1427" s="26"/>
      <x:c r="L1427" s="26"/>
    </x:row>
    <x:row r="1428">
      <x:c r="A1428" s="26"/>
      <x:c r="B1428" s="26"/>
      <x:c r="C1428" s="26"/>
      <x:c r="D1428" s="26"/>
      <x:c r="E1428" s="26"/>
      <x:c r="F1428" s="26"/>
      <x:c r="G1428" s="26"/>
      <x:c r="H1428" s="26"/>
      <x:c r="I1428" s="26"/>
      <x:c r="J1428" s="26"/>
      <x:c r="K1428" s="26"/>
      <x:c r="L1428" s="26"/>
    </x:row>
    <x:row r="1429">
      <x:c r="A1429" s="26"/>
      <x:c r="B1429" s="26"/>
      <x:c r="C1429" s="26"/>
      <x:c r="D1429" s="26"/>
      <x:c r="E1429" s="26"/>
      <x:c r="F1429" s="26"/>
      <x:c r="G1429" s="26"/>
      <x:c r="H1429" s="26"/>
      <x:c r="I1429" s="26"/>
      <x:c r="J1429" s="26"/>
      <x:c r="K1429" s="26"/>
      <x:c r="L1429" s="26"/>
    </x:row>
    <x:row r="1430">
      <x:c r="A1430" s="26"/>
      <x:c r="B1430" s="26"/>
      <x:c r="C1430" s="26"/>
      <x:c r="D1430" s="26"/>
      <x:c r="E1430" s="26"/>
      <x:c r="F1430" s="26"/>
      <x:c r="G1430" s="26"/>
      <x:c r="H1430" s="26"/>
      <x:c r="I1430" s="26"/>
      <x:c r="J1430" s="26"/>
      <x:c r="K1430" s="26"/>
      <x:c r="L1430" s="26"/>
    </x:row>
    <x:row r="1431">
      <x:c r="A1431" s="26"/>
      <x:c r="B1431" s="26"/>
      <x:c r="C1431" s="26"/>
      <x:c r="D1431" s="26"/>
      <x:c r="E1431" s="26"/>
      <x:c r="F1431" s="26"/>
      <x:c r="G1431" s="26"/>
      <x:c r="H1431" s="26"/>
      <x:c r="I1431" s="26"/>
      <x:c r="J1431" s="26"/>
      <x:c r="K1431" s="26"/>
      <x:c r="L1431" s="26"/>
    </x:row>
    <x:row r="1432">
      <x:c r="A1432" s="26"/>
      <x:c r="B1432" s="26"/>
      <x:c r="C1432" s="26"/>
      <x:c r="D1432" s="26"/>
      <x:c r="E1432" s="26"/>
      <x:c r="F1432" s="26"/>
      <x:c r="G1432" s="26"/>
      <x:c r="H1432" s="26"/>
      <x:c r="I1432" s="26"/>
      <x:c r="J1432" s="26"/>
      <x:c r="K1432" s="26"/>
      <x:c r="L1432" s="26"/>
    </x:row>
    <x:row r="1433">
      <x:c r="A1433" s="26"/>
      <x:c r="B1433" s="26"/>
      <x:c r="C1433" s="26"/>
      <x:c r="D1433" s="26"/>
      <x:c r="E1433" s="26"/>
      <x:c r="F1433" s="26"/>
      <x:c r="G1433" s="26"/>
      <x:c r="H1433" s="26"/>
      <x:c r="I1433" s="26"/>
      <x:c r="J1433" s="26"/>
      <x:c r="K1433" s="26"/>
      <x:c r="L1433" s="26"/>
    </x:row>
    <x:row r="1434">
      <x:c r="A1434" s="26"/>
      <x:c r="B1434" s="26"/>
      <x:c r="C1434" s="26"/>
      <x:c r="D1434" s="26"/>
      <x:c r="E1434" s="26"/>
      <x:c r="F1434" s="26"/>
      <x:c r="G1434" s="26"/>
      <x:c r="H1434" s="26"/>
      <x:c r="I1434" s="26"/>
      <x:c r="J1434" s="26"/>
      <x:c r="K1434" s="26"/>
      <x:c r="L1434" s="26"/>
    </x:row>
    <x:row r="1435">
      <x:c r="A1435" s="26"/>
      <x:c r="B1435" s="26"/>
      <x:c r="C1435" s="26"/>
      <x:c r="D1435" s="26"/>
      <x:c r="E1435" s="26"/>
      <x:c r="F1435" s="26"/>
      <x:c r="G1435" s="26"/>
      <x:c r="H1435" s="26"/>
      <x:c r="I1435" s="26"/>
      <x:c r="J1435" s="26"/>
      <x:c r="K1435" s="26"/>
      <x:c r="L1435" s="26"/>
    </x:row>
    <x:row r="1436">
      <x:c r="A1436" s="26"/>
      <x:c r="B1436" s="26"/>
      <x:c r="C1436" s="26"/>
      <x:c r="D1436" s="26"/>
      <x:c r="E1436" s="26"/>
      <x:c r="F1436" s="26"/>
      <x:c r="G1436" s="26"/>
      <x:c r="H1436" s="26"/>
      <x:c r="I1436" s="26"/>
      <x:c r="J1436" s="26"/>
      <x:c r="K1436" s="26"/>
      <x:c r="L1436" s="26"/>
    </x:row>
    <x:row r="1437">
      <x:c r="A1437" s="26"/>
      <x:c r="B1437" s="26"/>
      <x:c r="C1437" s="26"/>
      <x:c r="D1437" s="26"/>
      <x:c r="E1437" s="26"/>
      <x:c r="F1437" s="26"/>
      <x:c r="G1437" s="26"/>
      <x:c r="H1437" s="26"/>
      <x:c r="I1437" s="26"/>
      <x:c r="J1437" s="26"/>
      <x:c r="K1437" s="26"/>
      <x:c r="L1437" s="26"/>
    </x:row>
    <x:row r="1438">
      <x:c r="A1438" s="26"/>
      <x:c r="B1438" s="26"/>
      <x:c r="C1438" s="26"/>
      <x:c r="D1438" s="26"/>
      <x:c r="E1438" s="26"/>
      <x:c r="F1438" s="26"/>
      <x:c r="G1438" s="26"/>
      <x:c r="H1438" s="26"/>
      <x:c r="I1438" s="26"/>
      <x:c r="J1438" s="26"/>
      <x:c r="K1438" s="26"/>
      <x:c r="L1438" s="26"/>
    </x:row>
    <x:row r="1439">
      <x:c r="A1439" s="26"/>
      <x:c r="B1439" s="26"/>
      <x:c r="C1439" s="26"/>
      <x:c r="D1439" s="26"/>
      <x:c r="E1439" s="26"/>
      <x:c r="F1439" s="26"/>
      <x:c r="G1439" s="26"/>
      <x:c r="H1439" s="26"/>
      <x:c r="I1439" s="26"/>
      <x:c r="J1439" s="26"/>
      <x:c r="K1439" s="26"/>
      <x:c r="L1439" s="26"/>
    </x:row>
    <x:row r="1440">
      <x:c r="A1440" s="26"/>
      <x:c r="B1440" s="26"/>
      <x:c r="C1440" s="26"/>
      <x:c r="D1440" s="26"/>
      <x:c r="E1440" s="26"/>
      <x:c r="F1440" s="26"/>
      <x:c r="G1440" s="26"/>
      <x:c r="H1440" s="26"/>
      <x:c r="I1440" s="26"/>
      <x:c r="J1440" s="26"/>
      <x:c r="K1440" s="26"/>
      <x:c r="L1440" s="26"/>
    </x:row>
    <x:row r="1441">
      <x:c r="A1441" s="26"/>
      <x:c r="B1441" s="26"/>
      <x:c r="C1441" s="26"/>
      <x:c r="D1441" s="26"/>
      <x:c r="E1441" s="26"/>
      <x:c r="F1441" s="26"/>
      <x:c r="G1441" s="26"/>
      <x:c r="H1441" s="26"/>
      <x:c r="I1441" s="26"/>
      <x:c r="J1441" s="26"/>
      <x:c r="K1441" s="26"/>
      <x:c r="L1441" s="26"/>
    </x:row>
    <x:row r="1442">
      <x:c r="A1442" s="26"/>
      <x:c r="B1442" s="26"/>
      <x:c r="C1442" s="26"/>
      <x:c r="D1442" s="26"/>
      <x:c r="E1442" s="26"/>
      <x:c r="F1442" s="26"/>
      <x:c r="G1442" s="26"/>
      <x:c r="H1442" s="26"/>
      <x:c r="I1442" s="26"/>
      <x:c r="J1442" s="26"/>
      <x:c r="K1442" s="26"/>
      <x:c r="L1442" s="26"/>
    </x:row>
    <x:row r="1443">
      <x:c r="A1443" s="26"/>
      <x:c r="B1443" s="26"/>
      <x:c r="C1443" s="26"/>
      <x:c r="D1443" s="26"/>
      <x:c r="E1443" s="26"/>
      <x:c r="F1443" s="26"/>
      <x:c r="G1443" s="26"/>
      <x:c r="H1443" s="26"/>
      <x:c r="I1443" s="26"/>
      <x:c r="J1443" s="26"/>
      <x:c r="K1443" s="26"/>
      <x:c r="L1443" s="26"/>
    </x:row>
    <x:row r="1444">
      <x:c r="A1444" s="26"/>
      <x:c r="B1444" s="26"/>
      <x:c r="C1444" s="26"/>
      <x:c r="D1444" s="26"/>
      <x:c r="E1444" s="26"/>
      <x:c r="F1444" s="26"/>
      <x:c r="G1444" s="26"/>
      <x:c r="H1444" s="26"/>
      <x:c r="I1444" s="26"/>
      <x:c r="J1444" s="26"/>
      <x:c r="K1444" s="26"/>
      <x:c r="L1444" s="26"/>
    </x:row>
    <x:row r="1445">
      <x:c r="A1445" s="26"/>
      <x:c r="B1445" s="26"/>
      <x:c r="C1445" s="26"/>
      <x:c r="D1445" s="26"/>
      <x:c r="E1445" s="26"/>
      <x:c r="F1445" s="26"/>
      <x:c r="G1445" s="26"/>
      <x:c r="H1445" s="26"/>
      <x:c r="I1445" s="26"/>
      <x:c r="J1445" s="26"/>
      <x:c r="K1445" s="26"/>
      <x:c r="L1445" s="26"/>
    </x:row>
    <x:row r="1446">
      <x:c r="A1446" s="26"/>
      <x:c r="B1446" s="26"/>
      <x:c r="C1446" s="26"/>
      <x:c r="D1446" s="26"/>
      <x:c r="E1446" s="26"/>
      <x:c r="F1446" s="26"/>
      <x:c r="G1446" s="26"/>
      <x:c r="H1446" s="26"/>
      <x:c r="I1446" s="26"/>
      <x:c r="J1446" s="26"/>
      <x:c r="K1446" s="26"/>
      <x:c r="L1446" s="26"/>
    </x:row>
    <x:row r="1447">
      <x:c r="A1447" s="26"/>
      <x:c r="B1447" s="26"/>
      <x:c r="C1447" s="26"/>
      <x:c r="D1447" s="26"/>
      <x:c r="E1447" s="26"/>
      <x:c r="F1447" s="26"/>
      <x:c r="G1447" s="26"/>
      <x:c r="H1447" s="26"/>
      <x:c r="I1447" s="26"/>
      <x:c r="J1447" s="26"/>
      <x:c r="K1447" s="26"/>
      <x:c r="L1447" s="26"/>
    </x:row>
    <x:row r="1448">
      <x:c r="A1448" s="26"/>
      <x:c r="B1448" s="26"/>
      <x:c r="C1448" s="26"/>
      <x:c r="D1448" s="26"/>
      <x:c r="E1448" s="26"/>
      <x:c r="F1448" s="26"/>
      <x:c r="G1448" s="26"/>
      <x:c r="H1448" s="26"/>
      <x:c r="I1448" s="26"/>
      <x:c r="J1448" s="26"/>
      <x:c r="K1448" s="26"/>
      <x:c r="L1448" s="26"/>
    </x:row>
    <x:row r="1449">
      <x:c r="A1449" s="26"/>
      <x:c r="B1449" s="26"/>
      <x:c r="C1449" s="26"/>
      <x:c r="D1449" s="26"/>
      <x:c r="E1449" s="26"/>
      <x:c r="F1449" s="26"/>
      <x:c r="G1449" s="26"/>
      <x:c r="H1449" s="26"/>
      <x:c r="I1449" s="26"/>
      <x:c r="J1449" s="26"/>
      <x:c r="K1449" s="26"/>
      <x:c r="L1449" s="26"/>
    </x:row>
    <x:row r="1450">
      <x:c r="A1450" s="26"/>
      <x:c r="B1450" s="26"/>
      <x:c r="C1450" s="26"/>
      <x:c r="D1450" s="26"/>
      <x:c r="E1450" s="26"/>
      <x:c r="F1450" s="26"/>
      <x:c r="G1450" s="26"/>
      <x:c r="H1450" s="26"/>
      <x:c r="I1450" s="26"/>
      <x:c r="J1450" s="26"/>
      <x:c r="K1450" s="26"/>
      <x:c r="L1450" s="26"/>
    </x:row>
    <x:row r="1451">
      <x:c r="A1451" s="26"/>
      <x:c r="B1451" s="26"/>
      <x:c r="C1451" s="26"/>
      <x:c r="D1451" s="26"/>
      <x:c r="E1451" s="26"/>
      <x:c r="F1451" s="26"/>
      <x:c r="G1451" s="26"/>
      <x:c r="H1451" s="26"/>
      <x:c r="I1451" s="26"/>
      <x:c r="J1451" s="26"/>
      <x:c r="K1451" s="26"/>
      <x:c r="L1451" s="26"/>
    </x:row>
    <x:row r="1452">
      <x:c r="A1452" s="26"/>
      <x:c r="B1452" s="26"/>
      <x:c r="C1452" s="26"/>
      <x:c r="D1452" s="26"/>
      <x:c r="E1452" s="26"/>
      <x:c r="F1452" s="26"/>
      <x:c r="G1452" s="26"/>
      <x:c r="H1452" s="26"/>
      <x:c r="I1452" s="26"/>
      <x:c r="J1452" s="26"/>
      <x:c r="K1452" s="26"/>
      <x:c r="L1452" s="26"/>
    </x:row>
    <x:row r="1453">
      <x:c r="A1453" s="26"/>
      <x:c r="B1453" s="26"/>
      <x:c r="C1453" s="26"/>
      <x:c r="D1453" s="26"/>
      <x:c r="E1453" s="26"/>
      <x:c r="F1453" s="26"/>
      <x:c r="G1453" s="26"/>
      <x:c r="H1453" s="26"/>
      <x:c r="I1453" s="26"/>
      <x:c r="J1453" s="26"/>
      <x:c r="K1453" s="26"/>
      <x:c r="L1453" s="26"/>
    </x:row>
    <x:row r="1454">
      <x:c r="A1454" s="26"/>
      <x:c r="B1454" s="26"/>
      <x:c r="C1454" s="26"/>
      <x:c r="D1454" s="26"/>
      <x:c r="E1454" s="26"/>
      <x:c r="F1454" s="26"/>
      <x:c r="G1454" s="26"/>
      <x:c r="H1454" s="26"/>
      <x:c r="I1454" s="26"/>
      <x:c r="J1454" s="26"/>
      <x:c r="K1454" s="26"/>
      <x:c r="L1454" s="26"/>
    </x:row>
    <x:row r="1455">
      <x:c r="A1455" s="26"/>
      <x:c r="B1455" s="26"/>
      <x:c r="C1455" s="26"/>
      <x:c r="D1455" s="26"/>
      <x:c r="E1455" s="26"/>
      <x:c r="F1455" s="26"/>
      <x:c r="G1455" s="26"/>
      <x:c r="H1455" s="26"/>
      <x:c r="I1455" s="26"/>
      <x:c r="J1455" s="26"/>
      <x:c r="K1455" s="26"/>
      <x:c r="L1455" s="26"/>
    </x:row>
    <x:row r="1456">
      <x:c r="A1456" s="26"/>
      <x:c r="B1456" s="26"/>
      <x:c r="C1456" s="26"/>
      <x:c r="D1456" s="26"/>
      <x:c r="E1456" s="26"/>
      <x:c r="F1456" s="26"/>
      <x:c r="G1456" s="26"/>
      <x:c r="H1456" s="26"/>
      <x:c r="I1456" s="26"/>
      <x:c r="J1456" s="26"/>
      <x:c r="K1456" s="26"/>
      <x:c r="L1456" s="26"/>
    </x:row>
    <x:row r="1457">
      <x:c r="A1457" s="26"/>
      <x:c r="B1457" s="26"/>
      <x:c r="C1457" s="26"/>
      <x:c r="D1457" s="26"/>
      <x:c r="E1457" s="26"/>
      <x:c r="F1457" s="26"/>
      <x:c r="G1457" s="26"/>
      <x:c r="H1457" s="26"/>
      <x:c r="I1457" s="26"/>
      <x:c r="J1457" s="26"/>
      <x:c r="K1457" s="26"/>
      <x:c r="L1457" s="26"/>
    </x:row>
    <x:row r="1458">
      <x:c r="A1458" s="26"/>
      <x:c r="B1458" s="26"/>
      <x:c r="C1458" s="26"/>
      <x:c r="D1458" s="26"/>
      <x:c r="E1458" s="26"/>
      <x:c r="F1458" s="26"/>
      <x:c r="G1458" s="26"/>
      <x:c r="H1458" s="26"/>
      <x:c r="I1458" s="26"/>
      <x:c r="J1458" s="26"/>
      <x:c r="K1458" s="26"/>
      <x:c r="L1458" s="26"/>
    </x:row>
    <x:row r="1459">
      <x:c r="A1459" s="26"/>
      <x:c r="B1459" s="26"/>
      <x:c r="C1459" s="26"/>
      <x:c r="D1459" s="26"/>
      <x:c r="E1459" s="26"/>
      <x:c r="F1459" s="26"/>
      <x:c r="G1459" s="26"/>
      <x:c r="H1459" s="26"/>
      <x:c r="I1459" s="26"/>
      <x:c r="J1459" s="26"/>
      <x:c r="K1459" s="26"/>
      <x:c r="L1459" s="26"/>
    </x:row>
    <x:row r="1460">
      <x:c r="A1460" s="26"/>
      <x:c r="B1460" s="26"/>
      <x:c r="C1460" s="26"/>
      <x:c r="D1460" s="26"/>
      <x:c r="E1460" s="26"/>
      <x:c r="F1460" s="26"/>
      <x:c r="G1460" s="26"/>
      <x:c r="H1460" s="26"/>
      <x:c r="I1460" s="26"/>
      <x:c r="J1460" s="26"/>
      <x:c r="K1460" s="26"/>
      <x:c r="L1460" s="26"/>
    </x:row>
    <x:row r="1461">
      <x:c r="A1461" s="26"/>
      <x:c r="B1461" s="26"/>
      <x:c r="C1461" s="26"/>
      <x:c r="D1461" s="26"/>
      <x:c r="E1461" s="26"/>
      <x:c r="F1461" s="26"/>
      <x:c r="G1461" s="26"/>
      <x:c r="H1461" s="26"/>
      <x:c r="I1461" s="26"/>
      <x:c r="J1461" s="26"/>
      <x:c r="K1461" s="26"/>
      <x:c r="L1461" s="26"/>
    </x:row>
    <x:row r="1462">
      <x:c r="A1462" s="26"/>
      <x:c r="B1462" s="26"/>
      <x:c r="C1462" s="26"/>
      <x:c r="D1462" s="26"/>
      <x:c r="E1462" s="26"/>
      <x:c r="F1462" s="26"/>
      <x:c r="G1462" s="26"/>
      <x:c r="H1462" s="26"/>
      <x:c r="I1462" s="26"/>
      <x:c r="J1462" s="26"/>
      <x:c r="K1462" s="26"/>
      <x:c r="L1462" s="26"/>
    </x:row>
    <x:row r="1463">
      <x:c r="A1463" s="26"/>
      <x:c r="B1463" s="26"/>
      <x:c r="C1463" s="26"/>
      <x:c r="D1463" s="26"/>
      <x:c r="E1463" s="26"/>
      <x:c r="F1463" s="26"/>
      <x:c r="G1463" s="26"/>
      <x:c r="H1463" s="26"/>
      <x:c r="I1463" s="26"/>
      <x:c r="J1463" s="26"/>
      <x:c r="K1463" s="26"/>
      <x:c r="L1463" s="26"/>
    </x:row>
    <x:row r="1464">
      <x:c r="A1464" s="26"/>
      <x:c r="B1464" s="26"/>
      <x:c r="C1464" s="26"/>
      <x:c r="D1464" s="26"/>
      <x:c r="E1464" s="26"/>
      <x:c r="F1464" s="26"/>
      <x:c r="G1464" s="26"/>
      <x:c r="H1464" s="26"/>
      <x:c r="I1464" s="26"/>
      <x:c r="J1464" s="26"/>
      <x:c r="K1464" s="26"/>
      <x:c r="L1464" s="26"/>
    </x:row>
    <x:row r="1465">
      <x:c r="A1465" s="26"/>
      <x:c r="B1465" s="26"/>
      <x:c r="C1465" s="26"/>
      <x:c r="D1465" s="26"/>
      <x:c r="E1465" s="26"/>
      <x:c r="F1465" s="26"/>
      <x:c r="G1465" s="26"/>
      <x:c r="H1465" s="26"/>
      <x:c r="I1465" s="26"/>
      <x:c r="J1465" s="26"/>
      <x:c r="K1465" s="26"/>
      <x:c r="L1465" s="26"/>
    </x:row>
    <x:row r="1466">
      <x:c r="A1466" s="26"/>
      <x:c r="B1466" s="26"/>
      <x:c r="C1466" s="26"/>
      <x:c r="D1466" s="26"/>
      <x:c r="E1466" s="26"/>
      <x:c r="F1466" s="26"/>
      <x:c r="G1466" s="26"/>
      <x:c r="H1466" s="26"/>
      <x:c r="I1466" s="26"/>
      <x:c r="J1466" s="26"/>
      <x:c r="K1466" s="26"/>
      <x:c r="L1466" s="26"/>
    </x:row>
    <x:row r="1467">
      <x:c r="A1467" s="26"/>
      <x:c r="B1467" s="26"/>
      <x:c r="C1467" s="26"/>
      <x:c r="D1467" s="26"/>
      <x:c r="E1467" s="26"/>
      <x:c r="F1467" s="26"/>
      <x:c r="G1467" s="26"/>
      <x:c r="H1467" s="26"/>
      <x:c r="I1467" s="26"/>
      <x:c r="J1467" s="26"/>
      <x:c r="K1467" s="26"/>
      <x:c r="L1467" s="26"/>
    </x:row>
    <x:row r="1468">
      <x:c r="A1468" s="26"/>
      <x:c r="B1468" s="26"/>
      <x:c r="C1468" s="26"/>
      <x:c r="D1468" s="26"/>
      <x:c r="E1468" s="26"/>
      <x:c r="F1468" s="26"/>
      <x:c r="G1468" s="26"/>
      <x:c r="H1468" s="26"/>
      <x:c r="I1468" s="26"/>
      <x:c r="J1468" s="26"/>
      <x:c r="K1468" s="26"/>
      <x:c r="L1468" s="26"/>
    </x:row>
    <x:row r="1469">
      <x:c r="A1469" s="26"/>
      <x:c r="B1469" s="26"/>
      <x:c r="C1469" s="26"/>
      <x:c r="D1469" s="26"/>
      <x:c r="E1469" s="26"/>
      <x:c r="F1469" s="26"/>
      <x:c r="G1469" s="26"/>
      <x:c r="H1469" s="26"/>
      <x:c r="I1469" s="26"/>
      <x:c r="J1469" s="26"/>
      <x:c r="K1469" s="26"/>
      <x:c r="L1469" s="26"/>
    </x:row>
    <x:row r="1470">
      <x:c r="A1470" s="26"/>
      <x:c r="B1470" s="26"/>
      <x:c r="C1470" s="26"/>
      <x:c r="D1470" s="26"/>
      <x:c r="E1470" s="26"/>
      <x:c r="F1470" s="26"/>
      <x:c r="G1470" s="26"/>
      <x:c r="H1470" s="26"/>
      <x:c r="I1470" s="26"/>
      <x:c r="J1470" s="26"/>
      <x:c r="K1470" s="26"/>
      <x:c r="L1470" s="26"/>
    </x:row>
    <x:row r="1471">
      <x:c r="A1471" s="26"/>
      <x:c r="B1471" s="26"/>
      <x:c r="C1471" s="26"/>
      <x:c r="D1471" s="26"/>
      <x:c r="E1471" s="26"/>
      <x:c r="F1471" s="26"/>
      <x:c r="G1471" s="26"/>
      <x:c r="H1471" s="26"/>
      <x:c r="I1471" s="26"/>
      <x:c r="J1471" s="26"/>
      <x:c r="K1471" s="26"/>
      <x:c r="L1471" s="26"/>
    </x:row>
    <x:row r="1472">
      <x:c r="A1472" s="26"/>
      <x:c r="B1472" s="26"/>
      <x:c r="C1472" s="26"/>
      <x:c r="D1472" s="26"/>
      <x:c r="E1472" s="26"/>
      <x:c r="F1472" s="26"/>
      <x:c r="G1472" s="26"/>
      <x:c r="H1472" s="26"/>
      <x:c r="I1472" s="26"/>
      <x:c r="J1472" s="26"/>
      <x:c r="K1472" s="26"/>
      <x:c r="L1472" s="26"/>
    </x:row>
    <x:row r="1473">
      <x:c r="A1473" s="26"/>
      <x:c r="B1473" s="26"/>
      <x:c r="C1473" s="26"/>
      <x:c r="D1473" s="26"/>
      <x:c r="E1473" s="26"/>
      <x:c r="F1473" s="26"/>
      <x:c r="G1473" s="26"/>
      <x:c r="H1473" s="26"/>
      <x:c r="I1473" s="26"/>
      <x:c r="J1473" s="26"/>
      <x:c r="K1473" s="26"/>
      <x:c r="L1473" s="26"/>
    </x:row>
    <x:row r="1474">
      <x:c r="A1474" s="26"/>
      <x:c r="B1474" s="26"/>
      <x:c r="C1474" s="26"/>
      <x:c r="D1474" s="26"/>
      <x:c r="E1474" s="26"/>
      <x:c r="F1474" s="26"/>
      <x:c r="G1474" s="26"/>
      <x:c r="H1474" s="26"/>
      <x:c r="I1474" s="26"/>
      <x:c r="J1474" s="26"/>
      <x:c r="K1474" s="26"/>
      <x:c r="L1474" s="26"/>
    </x:row>
    <x:row r="1475">
      <x:c r="A1475" s="26"/>
      <x:c r="B1475" s="26"/>
      <x:c r="C1475" s="26"/>
      <x:c r="D1475" s="26"/>
      <x:c r="E1475" s="26"/>
      <x:c r="F1475" s="26"/>
      <x:c r="G1475" s="26"/>
      <x:c r="H1475" s="26"/>
      <x:c r="I1475" s="26"/>
      <x:c r="J1475" s="26"/>
      <x:c r="K1475" s="26"/>
      <x:c r="L1475" s="26"/>
    </x:row>
    <x:row r="1476">
      <x:c r="A1476" s="26"/>
      <x:c r="B1476" s="26"/>
      <x:c r="C1476" s="26"/>
      <x:c r="D1476" s="26"/>
      <x:c r="E1476" s="26"/>
      <x:c r="F1476" s="26"/>
      <x:c r="G1476" s="26"/>
      <x:c r="H1476" s="26"/>
      <x:c r="I1476" s="26"/>
      <x:c r="J1476" s="26"/>
      <x:c r="K1476" s="26"/>
      <x:c r="L1476" s="26"/>
    </x:row>
    <x:row r="1477">
      <x:c r="A1477" s="26"/>
      <x:c r="B1477" s="26"/>
      <x:c r="C1477" s="26"/>
      <x:c r="D1477" s="26"/>
      <x:c r="E1477" s="26"/>
      <x:c r="F1477" s="26"/>
      <x:c r="G1477" s="26"/>
      <x:c r="H1477" s="26"/>
      <x:c r="I1477" s="26"/>
      <x:c r="J1477" s="26"/>
      <x:c r="K1477" s="26"/>
      <x:c r="L1477" s="26"/>
    </x:row>
    <x:row r="1478">
      <x:c r="A1478" s="26"/>
      <x:c r="B1478" s="26"/>
      <x:c r="C1478" s="26"/>
      <x:c r="D1478" s="26"/>
      <x:c r="E1478" s="26"/>
      <x:c r="F1478" s="26"/>
      <x:c r="G1478" s="26"/>
      <x:c r="H1478" s="26"/>
      <x:c r="I1478" s="26"/>
      <x:c r="J1478" s="26"/>
      <x:c r="K1478" s="26"/>
      <x:c r="L1478" s="26"/>
    </x:row>
    <x:row r="1479">
      <x:c r="A1479" s="26"/>
      <x:c r="B1479" s="26"/>
      <x:c r="C1479" s="26"/>
      <x:c r="D1479" s="26"/>
      <x:c r="E1479" s="26"/>
      <x:c r="F1479" s="26"/>
      <x:c r="G1479" s="26"/>
      <x:c r="H1479" s="26"/>
      <x:c r="I1479" s="26"/>
      <x:c r="J1479" s="26"/>
      <x:c r="K1479" s="26"/>
      <x:c r="L1479" s="26"/>
    </x:row>
    <x:row r="1480">
      <x:c r="A1480" s="26"/>
      <x:c r="B1480" s="26"/>
      <x:c r="C1480" s="26"/>
      <x:c r="D1480" s="26"/>
      <x:c r="E1480" s="26"/>
      <x:c r="F1480" s="26"/>
      <x:c r="G1480" s="26"/>
      <x:c r="H1480" s="26"/>
      <x:c r="I1480" s="26"/>
      <x:c r="J1480" s="26"/>
      <x:c r="K1480" s="26"/>
      <x:c r="L1480" s="26"/>
    </x:row>
    <x:row r="1481">
      <x:c r="A1481" s="26"/>
      <x:c r="B1481" s="26"/>
      <x:c r="C1481" s="26"/>
      <x:c r="D1481" s="26"/>
      <x:c r="E1481" s="26"/>
      <x:c r="F1481" s="26"/>
      <x:c r="G1481" s="26"/>
      <x:c r="H1481" s="26"/>
      <x:c r="I1481" s="26"/>
      <x:c r="J1481" s="26"/>
      <x:c r="K1481" s="26"/>
      <x:c r="L1481" s="26"/>
    </x:row>
    <x:row r="1482">
      <x:c r="A1482" s="26"/>
      <x:c r="B1482" s="26"/>
      <x:c r="C1482" s="26"/>
      <x:c r="D1482" s="26"/>
      <x:c r="E1482" s="26"/>
      <x:c r="F1482" s="26"/>
      <x:c r="G1482" s="26"/>
      <x:c r="H1482" s="26"/>
      <x:c r="I1482" s="26"/>
      <x:c r="J1482" s="26"/>
      <x:c r="K1482" s="26"/>
      <x:c r="L1482" s="26"/>
    </x:row>
    <x:row r="1483">
      <x:c r="A1483" s="26"/>
      <x:c r="B1483" s="26"/>
      <x:c r="C1483" s="26"/>
      <x:c r="D1483" s="26"/>
      <x:c r="E1483" s="26"/>
      <x:c r="F1483" s="26"/>
      <x:c r="G1483" s="26"/>
      <x:c r="H1483" s="26"/>
      <x:c r="I1483" s="26"/>
      <x:c r="J1483" s="26"/>
      <x:c r="K1483" s="26"/>
      <x:c r="L1483" s="26"/>
    </x:row>
    <x:row r="1484">
      <x:c r="A1484" s="26"/>
      <x:c r="B1484" s="26"/>
      <x:c r="C1484" s="26"/>
      <x:c r="D1484" s="26"/>
      <x:c r="E1484" s="26"/>
      <x:c r="F1484" s="26"/>
      <x:c r="G1484" s="26"/>
      <x:c r="H1484" s="26"/>
      <x:c r="I1484" s="26"/>
      <x:c r="J1484" s="26"/>
      <x:c r="K1484" s="26"/>
      <x:c r="L1484" s="26"/>
    </x:row>
    <x:row r="1485">
      <x:c r="A1485" s="26"/>
      <x:c r="B1485" s="26"/>
      <x:c r="C1485" s="26"/>
      <x:c r="D1485" s="26"/>
      <x:c r="E1485" s="26"/>
      <x:c r="F1485" s="26"/>
      <x:c r="G1485" s="26"/>
      <x:c r="H1485" s="26"/>
      <x:c r="I1485" s="26"/>
      <x:c r="J1485" s="26"/>
      <x:c r="K1485" s="26"/>
      <x:c r="L1485" s="26"/>
    </x:row>
    <x:row r="1486">
      <x:c r="A1486" s="26"/>
      <x:c r="B1486" s="26"/>
      <x:c r="C1486" s="26"/>
      <x:c r="D1486" s="26"/>
      <x:c r="E1486" s="26"/>
      <x:c r="F1486" s="26"/>
      <x:c r="G1486" s="26"/>
      <x:c r="H1486" s="26"/>
      <x:c r="I1486" s="26"/>
      <x:c r="J1486" s="26"/>
      <x:c r="K1486" s="26"/>
      <x:c r="L1486" s="26"/>
    </x:row>
    <x:row r="1487">
      <x:c r="A1487" s="26"/>
      <x:c r="B1487" s="26"/>
      <x:c r="C1487" s="26"/>
      <x:c r="D1487" s="26"/>
      <x:c r="E1487" s="26"/>
      <x:c r="F1487" s="26"/>
      <x:c r="G1487" s="26"/>
      <x:c r="H1487" s="26"/>
      <x:c r="I1487" s="26"/>
      <x:c r="J1487" s="26"/>
      <x:c r="K1487" s="26"/>
      <x:c r="L1487" s="26"/>
    </x:row>
    <x:row r="1488">
      <x:c r="A1488" s="26"/>
      <x:c r="B1488" s="26"/>
      <x:c r="C1488" s="26"/>
      <x:c r="D1488" s="26"/>
      <x:c r="E1488" s="26"/>
      <x:c r="F1488" s="26"/>
      <x:c r="G1488" s="26"/>
      <x:c r="H1488" s="26"/>
      <x:c r="I1488" s="26"/>
      <x:c r="J1488" s="26"/>
      <x:c r="K1488" s="26"/>
      <x:c r="L1488" s="26"/>
    </x:row>
    <x:row r="1489">
      <x:c r="A1489" s="26"/>
      <x:c r="B1489" s="26"/>
      <x:c r="C1489" s="26"/>
      <x:c r="D1489" s="26"/>
      <x:c r="E1489" s="26"/>
      <x:c r="F1489" s="26"/>
      <x:c r="G1489" s="26"/>
      <x:c r="H1489" s="26"/>
      <x:c r="I1489" s="26"/>
      <x:c r="J1489" s="26"/>
      <x:c r="K1489" s="26"/>
      <x:c r="L1489" s="26"/>
    </x:row>
    <x:row r="1490">
      <x:c r="A1490" s="26"/>
      <x:c r="B1490" s="26"/>
      <x:c r="C1490" s="26"/>
      <x:c r="D1490" s="26"/>
      <x:c r="E1490" s="26"/>
      <x:c r="F1490" s="26"/>
      <x:c r="G1490" s="26"/>
      <x:c r="H1490" s="26"/>
      <x:c r="I1490" s="26"/>
      <x:c r="J1490" s="26"/>
      <x:c r="K1490" s="26"/>
      <x:c r="L1490" s="26"/>
    </x:row>
    <x:row r="1491">
      <x:c r="A1491" s="26"/>
      <x:c r="B1491" s="26"/>
      <x:c r="C1491" s="26"/>
      <x:c r="D1491" s="26"/>
      <x:c r="E1491" s="26"/>
      <x:c r="F1491" s="26"/>
      <x:c r="G1491" s="26"/>
      <x:c r="H1491" s="26"/>
      <x:c r="I1491" s="26"/>
      <x:c r="J1491" s="26"/>
      <x:c r="K1491" s="26"/>
      <x:c r="L1491" s="26"/>
    </x:row>
    <x:row r="1492">
      <x:c r="A1492" s="26"/>
      <x:c r="B1492" s="26"/>
      <x:c r="C1492" s="26"/>
      <x:c r="D1492" s="26"/>
      <x:c r="E1492" s="26"/>
      <x:c r="F1492" s="26"/>
      <x:c r="G1492" s="26"/>
      <x:c r="H1492" s="26"/>
      <x:c r="I1492" s="26"/>
      <x:c r="J1492" s="26"/>
      <x:c r="K1492" s="26"/>
      <x:c r="L1492" s="26"/>
    </x:row>
    <x:row r="1493">
      <x:c r="A1493" s="26"/>
      <x:c r="B1493" s="26"/>
      <x:c r="C1493" s="26"/>
      <x:c r="D1493" s="26"/>
      <x:c r="E1493" s="26"/>
      <x:c r="F1493" s="26"/>
      <x:c r="G1493" s="26"/>
      <x:c r="H1493" s="26"/>
      <x:c r="I1493" s="26"/>
      <x:c r="J1493" s="26"/>
      <x:c r="K1493" s="26"/>
      <x:c r="L1493" s="26"/>
    </x:row>
    <x:row r="1494">
      <x:c r="A1494" s="26"/>
      <x:c r="B1494" s="26"/>
      <x:c r="C1494" s="26"/>
      <x:c r="D1494" s="26"/>
      <x:c r="E1494" s="26"/>
      <x:c r="F1494" s="26"/>
      <x:c r="G1494" s="26"/>
      <x:c r="H1494" s="26"/>
      <x:c r="I1494" s="26"/>
      <x:c r="J1494" s="26"/>
      <x:c r="K1494" s="26"/>
      <x:c r="L1494" s="26"/>
    </x:row>
    <x:row r="1495">
      <x:c r="A1495" s="26"/>
      <x:c r="B1495" s="26"/>
      <x:c r="C1495" s="26"/>
      <x:c r="D1495" s="26"/>
      <x:c r="E1495" s="26"/>
      <x:c r="F1495" s="26"/>
      <x:c r="G1495" s="26"/>
      <x:c r="H1495" s="26"/>
      <x:c r="I1495" s="26"/>
      <x:c r="J1495" s="26"/>
      <x:c r="K1495" s="26"/>
      <x:c r="L1495" s="26"/>
    </x:row>
    <x:row r="1496">
      <x:c r="A1496" s="26"/>
      <x:c r="B1496" s="26"/>
      <x:c r="C1496" s="26"/>
      <x:c r="D1496" s="26"/>
      <x:c r="E1496" s="26"/>
      <x:c r="F1496" s="26"/>
      <x:c r="G1496" s="26"/>
      <x:c r="H1496" s="26"/>
      <x:c r="I1496" s="26"/>
      <x:c r="J1496" s="26"/>
      <x:c r="K1496" s="26"/>
      <x:c r="L1496" s="26"/>
    </x:row>
    <x:row r="1497">
      <x:c r="A1497" s="26"/>
      <x:c r="B1497" s="26"/>
      <x:c r="C1497" s="26"/>
      <x:c r="D1497" s="26"/>
      <x:c r="E1497" s="26"/>
      <x:c r="F1497" s="26"/>
      <x:c r="G1497" s="26"/>
      <x:c r="H1497" s="26"/>
      <x:c r="I1497" s="26"/>
      <x:c r="J1497" s="26"/>
      <x:c r="K1497" s="26"/>
      <x:c r="L1497" s="26"/>
    </x:row>
    <x:row r="1498">
      <x:c r="A1498" s="26"/>
      <x:c r="B1498" s="26"/>
      <x:c r="C1498" s="26"/>
      <x:c r="D1498" s="26"/>
      <x:c r="E1498" s="26"/>
      <x:c r="F1498" s="26"/>
      <x:c r="G1498" s="26"/>
      <x:c r="H1498" s="26"/>
      <x:c r="I1498" s="26"/>
      <x:c r="J1498" s="26"/>
      <x:c r="K1498" s="26"/>
      <x:c r="L1498" s="26"/>
    </x:row>
    <x:row r="1499">
      <x:c r="A1499" s="26"/>
      <x:c r="B1499" s="26"/>
      <x:c r="C1499" s="26"/>
      <x:c r="D1499" s="26"/>
      <x:c r="E1499" s="26"/>
      <x:c r="F1499" s="26"/>
      <x:c r="G1499" s="26"/>
      <x:c r="H1499" s="26"/>
      <x:c r="I1499" s="26"/>
      <x:c r="J1499" s="26"/>
      <x:c r="K1499" s="26"/>
      <x:c r="L1499" s="26"/>
    </x:row>
    <x:row r="1500">
      <x:c r="A1500" s="26"/>
      <x:c r="B1500" s="26"/>
      <x:c r="C1500" s="26"/>
      <x:c r="D1500" s="26"/>
      <x:c r="E1500" s="26"/>
      <x:c r="F1500" s="26"/>
      <x:c r="G1500" s="26"/>
      <x:c r="H1500" s="26"/>
      <x:c r="I1500" s="26"/>
      <x:c r="J1500" s="26"/>
      <x:c r="K1500" s="26"/>
      <x:c r="L1500" s="26"/>
    </x:row>
    <x:row r="1501">
      <x:c r="A1501" s="26"/>
      <x:c r="B1501" s="26"/>
      <x:c r="C1501" s="26"/>
      <x:c r="D1501" s="26"/>
      <x:c r="E1501" s="26"/>
      <x:c r="F1501" s="26"/>
      <x:c r="G1501" s="26"/>
      <x:c r="H1501" s="26"/>
      <x:c r="I1501" s="26"/>
      <x:c r="J1501" s="26"/>
      <x:c r="K1501" s="26"/>
      <x:c r="L1501" s="26"/>
    </x:row>
    <x:row r="1502">
      <x:c r="A1502" s="26"/>
      <x:c r="B1502" s="26"/>
      <x:c r="C1502" s="26"/>
      <x:c r="D1502" s="26"/>
      <x:c r="E1502" s="26"/>
      <x:c r="F1502" s="26"/>
      <x:c r="G1502" s="26"/>
      <x:c r="H1502" s="26"/>
      <x:c r="I1502" s="26"/>
      <x:c r="J1502" s="26"/>
      <x:c r="K1502" s="26"/>
      <x:c r="L1502" s="26"/>
    </x:row>
    <x:row r="1503">
      <x:c r="A1503" s="26"/>
      <x:c r="B1503" s="26"/>
      <x:c r="C1503" s="26"/>
      <x:c r="D1503" s="26"/>
      <x:c r="E1503" s="26"/>
      <x:c r="F1503" s="26"/>
      <x:c r="G1503" s="26"/>
      <x:c r="H1503" s="26"/>
      <x:c r="I1503" s="26"/>
      <x:c r="J1503" s="26"/>
      <x:c r="K1503" s="26"/>
      <x:c r="L1503" s="26"/>
    </x:row>
    <x:row r="1504">
      <x:c r="A1504" s="26"/>
      <x:c r="B1504" s="26"/>
      <x:c r="C1504" s="26"/>
      <x:c r="D1504" s="26"/>
      <x:c r="E1504" s="26"/>
      <x:c r="F1504" s="26"/>
      <x:c r="G1504" s="26"/>
      <x:c r="H1504" s="26"/>
      <x:c r="I1504" s="26"/>
      <x:c r="J1504" s="26"/>
      <x:c r="K1504" s="26"/>
      <x:c r="L1504" s="26"/>
    </x:row>
    <x:row r="1505">
      <x:c r="A1505" s="26"/>
      <x:c r="B1505" s="26"/>
      <x:c r="C1505" s="26"/>
      <x:c r="D1505" s="26"/>
      <x:c r="E1505" s="26"/>
      <x:c r="F1505" s="26"/>
      <x:c r="G1505" s="26"/>
      <x:c r="H1505" s="26"/>
      <x:c r="I1505" s="26"/>
      <x:c r="J1505" s="26"/>
      <x:c r="K1505" s="26"/>
      <x:c r="L1505" s="26"/>
    </x:row>
    <x:row r="1506">
      <x:c r="A1506" s="26"/>
      <x:c r="B1506" s="26"/>
      <x:c r="C1506" s="26"/>
      <x:c r="D1506" s="26"/>
      <x:c r="E1506" s="26"/>
      <x:c r="F1506" s="26"/>
      <x:c r="G1506" s="26"/>
      <x:c r="H1506" s="26"/>
      <x:c r="I1506" s="26"/>
      <x:c r="J1506" s="26"/>
      <x:c r="K1506" s="26"/>
      <x:c r="L1506" s="26"/>
    </x:row>
    <x:row r="1507">
      <x:c r="A1507" s="26"/>
      <x:c r="B1507" s="26"/>
      <x:c r="C1507" s="26"/>
      <x:c r="D1507" s="26"/>
      <x:c r="E1507" s="26"/>
      <x:c r="F1507" s="26"/>
      <x:c r="G1507" s="26"/>
      <x:c r="H1507" s="26"/>
      <x:c r="I1507" s="26"/>
      <x:c r="J1507" s="26"/>
      <x:c r="K1507" s="26"/>
      <x:c r="L1507" s="26"/>
    </x:row>
    <x:row r="1508">
      <x:c r="A1508" s="26"/>
      <x:c r="B1508" s="26"/>
      <x:c r="C1508" s="26"/>
      <x:c r="D1508" s="26"/>
      <x:c r="E1508" s="26"/>
      <x:c r="F1508" s="26"/>
      <x:c r="G1508" s="26"/>
      <x:c r="H1508" s="26"/>
      <x:c r="I1508" s="26"/>
      <x:c r="J1508" s="26"/>
      <x:c r="K1508" s="26"/>
      <x:c r="L1508" s="26"/>
    </x:row>
    <x:row r="1509">
      <x:c r="A1509" s="26"/>
      <x:c r="B1509" s="26"/>
      <x:c r="C1509" s="26"/>
      <x:c r="D1509" s="26"/>
      <x:c r="E1509" s="26"/>
      <x:c r="F1509" s="26"/>
      <x:c r="G1509" s="26"/>
      <x:c r="H1509" s="26"/>
      <x:c r="I1509" s="26"/>
      <x:c r="J1509" s="26"/>
      <x:c r="K1509" s="26"/>
      <x:c r="L1509" s="26"/>
    </x:row>
    <x:row r="1510">
      <x:c r="A1510" s="26"/>
      <x:c r="B1510" s="26"/>
      <x:c r="C1510" s="26"/>
      <x:c r="D1510" s="26"/>
      <x:c r="E1510" s="26"/>
      <x:c r="F1510" s="26"/>
      <x:c r="G1510" s="26"/>
      <x:c r="H1510" s="26"/>
      <x:c r="I1510" s="26"/>
      <x:c r="J1510" s="26"/>
      <x:c r="K1510" s="26"/>
      <x:c r="L1510" s="26"/>
    </x:row>
    <x:row r="1511">
      <x:c r="A1511" s="26"/>
      <x:c r="B1511" s="26"/>
      <x:c r="C1511" s="26"/>
      <x:c r="D1511" s="26"/>
      <x:c r="E1511" s="26"/>
      <x:c r="F1511" s="26"/>
      <x:c r="G1511" s="26"/>
      <x:c r="H1511" s="26"/>
      <x:c r="I1511" s="26"/>
      <x:c r="J1511" s="26"/>
      <x:c r="K1511" s="26"/>
      <x:c r="L1511" s="26"/>
    </x:row>
    <x:row r="1512">
      <x:c r="A1512" s="26"/>
      <x:c r="B1512" s="26"/>
      <x:c r="C1512" s="26"/>
      <x:c r="D1512" s="26"/>
      <x:c r="E1512" s="26"/>
      <x:c r="F1512" s="26"/>
      <x:c r="G1512" s="26"/>
      <x:c r="H1512" s="26"/>
      <x:c r="I1512" s="26"/>
      <x:c r="J1512" s="26"/>
      <x:c r="K1512" s="26"/>
      <x:c r="L1512" s="26"/>
    </x:row>
    <x:row r="1513">
      <x:c r="A1513" s="26"/>
      <x:c r="B1513" s="26"/>
      <x:c r="C1513" s="26"/>
      <x:c r="D1513" s="26"/>
      <x:c r="E1513" s="26"/>
      <x:c r="F1513" s="26"/>
      <x:c r="G1513" s="26"/>
      <x:c r="H1513" s="26"/>
      <x:c r="I1513" s="26"/>
      <x:c r="J1513" s="26"/>
      <x:c r="K1513" s="26"/>
      <x:c r="L1513" s="26"/>
    </x:row>
    <x:row r="1514">
      <x:c r="A1514" s="26"/>
      <x:c r="B1514" s="26"/>
      <x:c r="C1514" s="26"/>
      <x:c r="D1514" s="26"/>
      <x:c r="E1514" s="26"/>
      <x:c r="F1514" s="26"/>
      <x:c r="G1514" s="26"/>
      <x:c r="H1514" s="26"/>
      <x:c r="I1514" s="26"/>
      <x:c r="J1514" s="26"/>
      <x:c r="K1514" s="26"/>
      <x:c r="L1514" s="26"/>
    </x:row>
    <x:row r="1515">
      <x:c r="A1515" s="26"/>
      <x:c r="B1515" s="26"/>
      <x:c r="C1515" s="26"/>
      <x:c r="D1515" s="26"/>
      <x:c r="E1515" s="26"/>
      <x:c r="F1515" s="26"/>
      <x:c r="G1515" s="26"/>
      <x:c r="H1515" s="26"/>
      <x:c r="I1515" s="26"/>
      <x:c r="J1515" s="26"/>
      <x:c r="K1515" s="26"/>
      <x:c r="L1515" s="26"/>
    </x:row>
    <x:row r="1516">
      <x:c r="A1516" s="26"/>
      <x:c r="B1516" s="26"/>
      <x:c r="C1516" s="26"/>
      <x:c r="D1516" s="26"/>
      <x:c r="E1516" s="26"/>
      <x:c r="F1516" s="26"/>
      <x:c r="G1516" s="26"/>
      <x:c r="H1516" s="26"/>
      <x:c r="I1516" s="26"/>
      <x:c r="J1516" s="26"/>
      <x:c r="K1516" s="26"/>
      <x:c r="L1516" s="26"/>
    </x:row>
    <x:row r="1517">
      <x:c r="A1517" s="26"/>
      <x:c r="B1517" s="26"/>
      <x:c r="C1517" s="26"/>
      <x:c r="D1517" s="26"/>
      <x:c r="E1517" s="26"/>
      <x:c r="F1517" s="26"/>
      <x:c r="G1517" s="26"/>
      <x:c r="H1517" s="26"/>
      <x:c r="I1517" s="26"/>
      <x:c r="J1517" s="26"/>
      <x:c r="K1517" s="26"/>
      <x:c r="L1517" s="26"/>
    </x:row>
    <x:row r="1518">
      <x:c r="A1518" s="26"/>
      <x:c r="B1518" s="26"/>
      <x:c r="C1518" s="26"/>
      <x:c r="D1518" s="26"/>
      <x:c r="E1518" s="26"/>
      <x:c r="F1518" s="26"/>
      <x:c r="G1518" s="26"/>
      <x:c r="H1518" s="26"/>
      <x:c r="I1518" s="26"/>
      <x:c r="J1518" s="26"/>
      <x:c r="K1518" s="26"/>
      <x:c r="L1518" s="26"/>
    </x:row>
    <x:row r="1519">
      <x:c r="A1519" s="26"/>
      <x:c r="B1519" s="26"/>
      <x:c r="C1519" s="26"/>
      <x:c r="D1519" s="26"/>
      <x:c r="E1519" s="26"/>
      <x:c r="F1519" s="26"/>
      <x:c r="G1519" s="26"/>
      <x:c r="H1519" s="26"/>
      <x:c r="I1519" s="26"/>
      <x:c r="J1519" s="26"/>
      <x:c r="K1519" s="26"/>
      <x:c r="L1519" s="26"/>
    </x:row>
    <x:row r="1520">
      <x:c r="A1520" s="26"/>
      <x:c r="B1520" s="26"/>
      <x:c r="C1520" s="26"/>
      <x:c r="D1520" s="26"/>
      <x:c r="E1520" s="26"/>
      <x:c r="F1520" s="26"/>
      <x:c r="G1520" s="26"/>
      <x:c r="H1520" s="26"/>
      <x:c r="I1520" s="26"/>
      <x:c r="J1520" s="26"/>
      <x:c r="K1520" s="26"/>
      <x:c r="L1520" s="26"/>
    </x:row>
    <x:row r="1521">
      <x:c r="A1521" s="26"/>
      <x:c r="B1521" s="26"/>
      <x:c r="C1521" s="26"/>
      <x:c r="D1521" s="26"/>
      <x:c r="E1521" s="26"/>
      <x:c r="F1521" s="26"/>
      <x:c r="G1521" s="26"/>
      <x:c r="H1521" s="26"/>
      <x:c r="I1521" s="26"/>
      <x:c r="J1521" s="26"/>
      <x:c r="K1521" s="26"/>
      <x:c r="L1521" s="26"/>
    </x:row>
    <x:row r="1522">
      <x:c r="A1522" s="26"/>
      <x:c r="B1522" s="26"/>
      <x:c r="C1522" s="26"/>
      <x:c r="D1522" s="26"/>
      <x:c r="E1522" s="26"/>
      <x:c r="F1522" s="26"/>
      <x:c r="G1522" s="26"/>
      <x:c r="H1522" s="26"/>
      <x:c r="I1522" s="26"/>
      <x:c r="J1522" s="26"/>
      <x:c r="K1522" s="26"/>
      <x:c r="L1522" s="26"/>
    </x:row>
    <x:row r="1523">
      <x:c r="A1523" s="26"/>
      <x:c r="B1523" s="26"/>
      <x:c r="C1523" s="26"/>
      <x:c r="D1523" s="26"/>
      <x:c r="E1523" s="26"/>
      <x:c r="F1523" s="26"/>
      <x:c r="G1523" s="26"/>
      <x:c r="H1523" s="26"/>
      <x:c r="I1523" s="26"/>
      <x:c r="J1523" s="26"/>
      <x:c r="K1523" s="26"/>
      <x:c r="L1523" s="26"/>
    </x:row>
    <x:row r="1524">
      <x:c r="A1524" s="26"/>
      <x:c r="B1524" s="26"/>
      <x:c r="C1524" s="26"/>
      <x:c r="D1524" s="26"/>
      <x:c r="E1524" s="26"/>
      <x:c r="F1524" s="26"/>
      <x:c r="G1524" s="26"/>
      <x:c r="H1524" s="26"/>
      <x:c r="I1524" s="26"/>
      <x:c r="J1524" s="26"/>
      <x:c r="K1524" s="26"/>
      <x:c r="L1524" s="26"/>
    </x:row>
    <x:row r="1525">
      <x:c r="A1525" s="26"/>
      <x:c r="B1525" s="26"/>
      <x:c r="C1525" s="26"/>
      <x:c r="D1525" s="26"/>
      <x:c r="E1525" s="26"/>
      <x:c r="F1525" s="26"/>
      <x:c r="G1525" s="26"/>
      <x:c r="H1525" s="26"/>
      <x:c r="I1525" s="26"/>
      <x:c r="J1525" s="26"/>
      <x:c r="K1525" s="26"/>
      <x:c r="L1525" s="26"/>
    </x:row>
    <x:row r="1526">
      <x:c r="A1526" s="26"/>
      <x:c r="B1526" s="26"/>
      <x:c r="C1526" s="26"/>
      <x:c r="D1526" s="26"/>
      <x:c r="E1526" s="26"/>
      <x:c r="F1526" s="26"/>
      <x:c r="G1526" s="26"/>
      <x:c r="H1526" s="26"/>
      <x:c r="I1526" s="26"/>
      <x:c r="J1526" s="26"/>
      <x:c r="K1526" s="26"/>
      <x:c r="L1526" s="26"/>
    </x:row>
    <x:row r="1527">
      <x:c r="A1527" s="26"/>
      <x:c r="B1527" s="26"/>
      <x:c r="C1527" s="26"/>
      <x:c r="D1527" s="26"/>
      <x:c r="E1527" s="26"/>
      <x:c r="F1527" s="26"/>
      <x:c r="G1527" s="26"/>
      <x:c r="H1527" s="26"/>
      <x:c r="I1527" s="26"/>
      <x:c r="J1527" s="26"/>
      <x:c r="K1527" s="26"/>
      <x:c r="L1527" s="26"/>
    </x:row>
    <x:row r="1528">
      <x:c r="A1528" s="26"/>
      <x:c r="B1528" s="26"/>
      <x:c r="C1528" s="26"/>
      <x:c r="D1528" s="26"/>
      <x:c r="E1528" s="26"/>
      <x:c r="F1528" s="26"/>
      <x:c r="G1528" s="26"/>
      <x:c r="H1528" s="26"/>
      <x:c r="I1528" s="26"/>
      <x:c r="J1528" s="26"/>
      <x:c r="K1528" s="26"/>
      <x:c r="L1528" s="26"/>
    </x:row>
    <x:row r="1529">
      <x:c r="A1529" s="26"/>
      <x:c r="B1529" s="26"/>
      <x:c r="C1529" s="26"/>
      <x:c r="D1529" s="26"/>
      <x:c r="E1529" s="26"/>
      <x:c r="F1529" s="26"/>
      <x:c r="G1529" s="26"/>
      <x:c r="H1529" s="26"/>
      <x:c r="I1529" s="26"/>
      <x:c r="J1529" s="26"/>
      <x:c r="K1529" s="26"/>
      <x:c r="L1529" s="26"/>
    </x:row>
    <x:row r="1530">
      <x:c r="A1530" s="26"/>
      <x:c r="B1530" s="26"/>
      <x:c r="C1530" s="26"/>
      <x:c r="D1530" s="26"/>
      <x:c r="E1530" s="26"/>
      <x:c r="F1530" s="26"/>
      <x:c r="G1530" s="26"/>
      <x:c r="H1530" s="26"/>
      <x:c r="I1530" s="26"/>
      <x:c r="J1530" s="26"/>
      <x:c r="K1530" s="26"/>
      <x:c r="L1530" s="26"/>
    </x:row>
    <x:row r="1531">
      <x:c r="A1531" s="26"/>
      <x:c r="B1531" s="26"/>
      <x:c r="C1531" s="26"/>
      <x:c r="D1531" s="26"/>
      <x:c r="E1531" s="26"/>
      <x:c r="F1531" s="26"/>
      <x:c r="G1531" s="26"/>
      <x:c r="H1531" s="26"/>
      <x:c r="I1531" s="26"/>
      <x:c r="J1531" s="26"/>
      <x:c r="K1531" s="26"/>
      <x:c r="L1531" s="26"/>
    </x:row>
    <x:row r="1532">
      <x:c r="A1532" s="26"/>
      <x:c r="B1532" s="26"/>
      <x:c r="C1532" s="26"/>
      <x:c r="D1532" s="26"/>
      <x:c r="E1532" s="26"/>
      <x:c r="F1532" s="26"/>
      <x:c r="G1532" s="26"/>
      <x:c r="H1532" s="26"/>
      <x:c r="I1532" s="26"/>
      <x:c r="J1532" s="26"/>
      <x:c r="K1532" s="26"/>
      <x:c r="L1532" s="26"/>
    </x:row>
    <x:row r="1533">
      <x:c r="A1533" s="26"/>
      <x:c r="B1533" s="26"/>
      <x:c r="C1533" s="26"/>
      <x:c r="D1533" s="26"/>
      <x:c r="E1533" s="26"/>
      <x:c r="F1533" s="26"/>
      <x:c r="G1533" s="26"/>
      <x:c r="H1533" s="26"/>
      <x:c r="I1533" s="26"/>
      <x:c r="J1533" s="26"/>
      <x:c r="K1533" s="26"/>
      <x:c r="L1533" s="26"/>
    </x:row>
    <x:row r="1534">
      <x:c r="A1534" s="26"/>
      <x:c r="B1534" s="26"/>
      <x:c r="C1534" s="26"/>
      <x:c r="D1534" s="26"/>
      <x:c r="E1534" s="26"/>
      <x:c r="F1534" s="26"/>
      <x:c r="G1534" s="26"/>
      <x:c r="H1534" s="26"/>
      <x:c r="I1534" s="26"/>
      <x:c r="J1534" s="26"/>
      <x:c r="K1534" s="26"/>
      <x:c r="L1534" s="26"/>
    </x:row>
    <x:row r="1535">
      <x:c r="A1535" s="26"/>
      <x:c r="B1535" s="26"/>
      <x:c r="C1535" s="26"/>
      <x:c r="D1535" s="26"/>
      <x:c r="E1535" s="26"/>
      <x:c r="F1535" s="26"/>
      <x:c r="G1535" s="26"/>
      <x:c r="H1535" s="26"/>
      <x:c r="I1535" s="26"/>
      <x:c r="J1535" s="26"/>
      <x:c r="K1535" s="26"/>
      <x:c r="L1535" s="26"/>
    </x:row>
    <x:row r="1536">
      <x:c r="A1536" s="26"/>
      <x:c r="B1536" s="26"/>
      <x:c r="C1536" s="26"/>
      <x:c r="D1536" s="26"/>
      <x:c r="E1536" s="26"/>
      <x:c r="F1536" s="26"/>
      <x:c r="G1536" s="26"/>
      <x:c r="H1536" s="26"/>
      <x:c r="I1536" s="26"/>
      <x:c r="J1536" s="26"/>
      <x:c r="K1536" s="26"/>
      <x:c r="L1536" s="26"/>
    </x:row>
    <x:row r="1537">
      <x:c r="A1537" s="26"/>
      <x:c r="B1537" s="26"/>
      <x:c r="C1537" s="26"/>
      <x:c r="D1537" s="26"/>
      <x:c r="E1537" s="26"/>
      <x:c r="F1537" s="26"/>
      <x:c r="G1537" s="26"/>
      <x:c r="H1537" s="26"/>
      <x:c r="I1537" s="26"/>
      <x:c r="J1537" s="26"/>
      <x:c r="K1537" s="26"/>
      <x:c r="L1537" s="26"/>
    </x:row>
    <x:row r="1538">
      <x:c r="A1538" s="26"/>
      <x:c r="B1538" s="26"/>
      <x:c r="C1538" s="26"/>
      <x:c r="D1538" s="26"/>
      <x:c r="E1538" s="26"/>
      <x:c r="F1538" s="26"/>
      <x:c r="G1538" s="26"/>
      <x:c r="H1538" s="26"/>
      <x:c r="I1538" s="26"/>
      <x:c r="J1538" s="26"/>
      <x:c r="K1538" s="26"/>
      <x:c r="L1538" s="26"/>
    </x:row>
    <x:row r="1539">
      <x:c r="A1539" s="26"/>
      <x:c r="B1539" s="26"/>
      <x:c r="C1539" s="26"/>
      <x:c r="D1539" s="26"/>
      <x:c r="E1539" s="26"/>
      <x:c r="F1539" s="26"/>
      <x:c r="G1539" s="26"/>
      <x:c r="H1539" s="26"/>
      <x:c r="I1539" s="26"/>
      <x:c r="J1539" s="26"/>
      <x:c r="K1539" s="26"/>
      <x:c r="L1539" s="26"/>
    </x:row>
    <x:row r="1540">
      <x:c r="A1540" s="26"/>
      <x:c r="B1540" s="26"/>
      <x:c r="C1540" s="26"/>
      <x:c r="D1540" s="26"/>
      <x:c r="E1540" s="26"/>
      <x:c r="F1540" s="26"/>
      <x:c r="G1540" s="26"/>
      <x:c r="H1540" s="26"/>
      <x:c r="I1540" s="26"/>
      <x:c r="J1540" s="26"/>
      <x:c r="K1540" s="26"/>
      <x:c r="L1540" s="26"/>
    </x:row>
    <x:row r="1541">
      <x:c r="A1541" s="26"/>
      <x:c r="B1541" s="26"/>
      <x:c r="C1541" s="26"/>
      <x:c r="D1541" s="26"/>
      <x:c r="E1541" s="26"/>
      <x:c r="F1541" s="26"/>
      <x:c r="G1541" s="26"/>
      <x:c r="H1541" s="26"/>
      <x:c r="I1541" s="26"/>
      <x:c r="J1541" s="26"/>
      <x:c r="K1541" s="26"/>
      <x:c r="L1541" s="26"/>
    </x:row>
    <x:row r="1542">
      <x:c r="A1542" s="26"/>
      <x:c r="B1542" s="26"/>
      <x:c r="C1542" s="26"/>
      <x:c r="D1542" s="26"/>
      <x:c r="E1542" s="26"/>
      <x:c r="F1542" s="26"/>
      <x:c r="G1542" s="26"/>
      <x:c r="H1542" s="26"/>
      <x:c r="I1542" s="26"/>
      <x:c r="J1542" s="26"/>
      <x:c r="K1542" s="26"/>
      <x:c r="L1542" s="26"/>
    </x:row>
    <x:row r="1543">
      <x:c r="A1543" s="26"/>
      <x:c r="B1543" s="26"/>
      <x:c r="C1543" s="26"/>
      <x:c r="D1543" s="26"/>
      <x:c r="E1543" s="26"/>
      <x:c r="F1543" s="26"/>
      <x:c r="G1543" s="26"/>
      <x:c r="H1543" s="26"/>
      <x:c r="I1543" s="26"/>
      <x:c r="J1543" s="26"/>
      <x:c r="K1543" s="26"/>
      <x:c r="L1543" s="26"/>
    </x:row>
    <x:row r="1544">
      <x:c r="A1544" s="26"/>
      <x:c r="B1544" s="26"/>
      <x:c r="C1544" s="26"/>
      <x:c r="D1544" s="26"/>
      <x:c r="E1544" s="26"/>
      <x:c r="F1544" s="26"/>
      <x:c r="G1544" s="26"/>
      <x:c r="H1544" s="26"/>
      <x:c r="I1544" s="26"/>
      <x:c r="J1544" s="26"/>
      <x:c r="K1544" s="26"/>
      <x:c r="L1544" s="26"/>
    </x:row>
    <x:row r="1545">
      <x:c r="A1545" s="26"/>
      <x:c r="B1545" s="26"/>
      <x:c r="C1545" s="26"/>
      <x:c r="D1545" s="26"/>
      <x:c r="E1545" s="26"/>
      <x:c r="F1545" s="26"/>
      <x:c r="G1545" s="26"/>
      <x:c r="H1545" s="26"/>
      <x:c r="I1545" s="26"/>
      <x:c r="J1545" s="26"/>
      <x:c r="K1545" s="26"/>
      <x:c r="L1545" s="26"/>
    </x:row>
    <x:row r="1546">
      <x:c r="A1546" s="26"/>
      <x:c r="B1546" s="26"/>
      <x:c r="C1546" s="26"/>
      <x:c r="D1546" s="26"/>
      <x:c r="E1546" s="26"/>
      <x:c r="F1546" s="26"/>
      <x:c r="G1546" s="26"/>
      <x:c r="H1546" s="26"/>
      <x:c r="I1546" s="26"/>
      <x:c r="J1546" s="26"/>
      <x:c r="K1546" s="26"/>
      <x:c r="L1546" s="26"/>
    </x:row>
    <x:row r="1547">
      <x:c r="A1547" s="26"/>
      <x:c r="B1547" s="26"/>
      <x:c r="C1547" s="26"/>
      <x:c r="D1547" s="26"/>
      <x:c r="E1547" s="26"/>
      <x:c r="F1547" s="26"/>
      <x:c r="G1547" s="26"/>
      <x:c r="H1547" s="26"/>
      <x:c r="I1547" s="26"/>
      <x:c r="J1547" s="26"/>
      <x:c r="K1547" s="26"/>
      <x:c r="L1547" s="26"/>
    </x:row>
    <x:row r="1548">
      <x:c r="A1548" s="26"/>
      <x:c r="B1548" s="26"/>
      <x:c r="C1548" s="26"/>
      <x:c r="D1548" s="26"/>
      <x:c r="E1548" s="26"/>
      <x:c r="F1548" s="26"/>
      <x:c r="G1548" s="26"/>
      <x:c r="H1548" s="26"/>
      <x:c r="I1548" s="26"/>
      <x:c r="J1548" s="26"/>
      <x:c r="K1548" s="26"/>
      <x:c r="L1548" s="26"/>
    </x:row>
    <x:row r="1549">
      <x:c r="A1549" s="26"/>
      <x:c r="B1549" s="26"/>
      <x:c r="C1549" s="26"/>
      <x:c r="D1549" s="26"/>
      <x:c r="E1549" s="26"/>
      <x:c r="F1549" s="26"/>
      <x:c r="G1549" s="26"/>
      <x:c r="H1549" s="26"/>
      <x:c r="I1549" s="26"/>
      <x:c r="J1549" s="26"/>
      <x:c r="K1549" s="26"/>
      <x:c r="L1549" s="26"/>
    </x:row>
    <x:row r="1550">
      <x:c r="A1550" s="26"/>
      <x:c r="B1550" s="26"/>
      <x:c r="C1550" s="26"/>
      <x:c r="D1550" s="26"/>
      <x:c r="E1550" s="26"/>
      <x:c r="F1550" s="26"/>
      <x:c r="G1550" s="26"/>
      <x:c r="H1550" s="26"/>
      <x:c r="I1550" s="26"/>
      <x:c r="J1550" s="26"/>
      <x:c r="K1550" s="26"/>
      <x:c r="L1550" s="26"/>
    </x:row>
    <x:row r="1551">
      <x:c r="A1551" s="26"/>
      <x:c r="B1551" s="26"/>
      <x:c r="C1551" s="26"/>
      <x:c r="D1551" s="26"/>
      <x:c r="E1551" s="26"/>
      <x:c r="F1551" s="26"/>
      <x:c r="G1551" s="26"/>
      <x:c r="H1551" s="26"/>
      <x:c r="I1551" s="26"/>
      <x:c r="J1551" s="26"/>
      <x:c r="K1551" s="26"/>
      <x:c r="L1551" s="26"/>
    </x:row>
    <x:row r="1552">
      <x:c r="A1552" s="26"/>
      <x:c r="B1552" s="26"/>
      <x:c r="C1552" s="26"/>
      <x:c r="D1552" s="26"/>
      <x:c r="E1552" s="26"/>
      <x:c r="F1552" s="26"/>
      <x:c r="G1552" s="26"/>
      <x:c r="H1552" s="26"/>
      <x:c r="I1552" s="26"/>
      <x:c r="J1552" s="26"/>
      <x:c r="K1552" s="26"/>
      <x:c r="L1552" s="26"/>
    </x:row>
    <x:row r="1553">
      <x:c r="A1553" s="26"/>
      <x:c r="B1553" s="26"/>
      <x:c r="C1553" s="26"/>
      <x:c r="D1553" s="26"/>
      <x:c r="E1553" s="26"/>
      <x:c r="F1553" s="26"/>
      <x:c r="G1553" s="26"/>
      <x:c r="H1553" s="26"/>
      <x:c r="I1553" s="26"/>
      <x:c r="J1553" s="26"/>
      <x:c r="K1553" s="26"/>
      <x:c r="L1553" s="26"/>
    </x:row>
    <x:row r="1554">
      <x:c r="A1554" s="26"/>
      <x:c r="B1554" s="26"/>
      <x:c r="C1554" s="26"/>
      <x:c r="D1554" s="26"/>
      <x:c r="E1554" s="26"/>
      <x:c r="F1554" s="26"/>
      <x:c r="G1554" s="26"/>
      <x:c r="H1554" s="26"/>
      <x:c r="I1554" s="26"/>
      <x:c r="J1554" s="26"/>
      <x:c r="K1554" s="26"/>
      <x:c r="L1554" s="26"/>
    </x:row>
    <x:row r="1555">
      <x:c r="A1555" s="26"/>
      <x:c r="B1555" s="26"/>
      <x:c r="C1555" s="26"/>
      <x:c r="D1555" s="26"/>
      <x:c r="E1555" s="26"/>
      <x:c r="F1555" s="26"/>
      <x:c r="G1555" s="26"/>
      <x:c r="H1555" s="26"/>
      <x:c r="I1555" s="26"/>
      <x:c r="J1555" s="26"/>
      <x:c r="K1555" s="26"/>
      <x:c r="L1555" s="26"/>
    </x:row>
    <x:row r="1556">
      <x:c r="A1556" s="26"/>
      <x:c r="B1556" s="26"/>
      <x:c r="C1556" s="26"/>
      <x:c r="D1556" s="26"/>
      <x:c r="E1556" s="26"/>
      <x:c r="F1556" s="26"/>
      <x:c r="G1556" s="26"/>
      <x:c r="H1556" s="26"/>
      <x:c r="I1556" s="26"/>
      <x:c r="J1556" s="26"/>
      <x:c r="K1556" s="26"/>
      <x:c r="L1556" s="26"/>
    </x:row>
    <x:row r="1557">
      <x:c r="A1557" s="26"/>
      <x:c r="B1557" s="26"/>
      <x:c r="C1557" s="26"/>
      <x:c r="D1557" s="26"/>
      <x:c r="E1557" s="26"/>
      <x:c r="F1557" s="26"/>
      <x:c r="G1557" s="26"/>
      <x:c r="H1557" s="26"/>
      <x:c r="I1557" s="26"/>
      <x:c r="J1557" s="26"/>
      <x:c r="K1557" s="26"/>
      <x:c r="L1557" s="26"/>
    </x:row>
    <x:row r="1558">
      <x:c r="A1558" s="26"/>
      <x:c r="B1558" s="26"/>
      <x:c r="C1558" s="26"/>
      <x:c r="D1558" s="26"/>
      <x:c r="E1558" s="26"/>
      <x:c r="F1558" s="26"/>
      <x:c r="G1558" s="26"/>
      <x:c r="H1558" s="26"/>
      <x:c r="I1558" s="26"/>
      <x:c r="J1558" s="26"/>
      <x:c r="K1558" s="26"/>
      <x:c r="L1558" s="26"/>
    </x:row>
    <x:row r="1559">
      <x:c r="A1559" s="26"/>
      <x:c r="B1559" s="26"/>
      <x:c r="C1559" s="26"/>
      <x:c r="D1559" s="26"/>
      <x:c r="E1559" s="26"/>
      <x:c r="F1559" s="26"/>
      <x:c r="G1559" s="26"/>
      <x:c r="H1559" s="26"/>
      <x:c r="I1559" s="26"/>
      <x:c r="J1559" s="26"/>
      <x:c r="K1559" s="26"/>
      <x:c r="L1559" s="26"/>
    </x:row>
    <x:row r="1560">
      <x:c r="A1560" s="26"/>
      <x:c r="B1560" s="26"/>
      <x:c r="C1560" s="26"/>
      <x:c r="D1560" s="26"/>
      <x:c r="E1560" s="26"/>
      <x:c r="F1560" s="26"/>
      <x:c r="G1560" s="26"/>
      <x:c r="H1560" s="26"/>
      <x:c r="I1560" s="26"/>
      <x:c r="J1560" s="26"/>
      <x:c r="K1560" s="26"/>
      <x:c r="L1560" s="26"/>
    </x:row>
    <x:row r="1561">
      <x:c r="A1561" s="26"/>
      <x:c r="B1561" s="26"/>
      <x:c r="C1561" s="26"/>
      <x:c r="D1561" s="26"/>
      <x:c r="E1561" s="26"/>
      <x:c r="F1561" s="26"/>
      <x:c r="G1561" s="26"/>
      <x:c r="H1561" s="26"/>
      <x:c r="I1561" s="26"/>
      <x:c r="J1561" s="26"/>
      <x:c r="K1561" s="26"/>
      <x:c r="L1561" s="26"/>
    </x:row>
    <x:row r="1562">
      <x:c r="A1562" s="26"/>
      <x:c r="B1562" s="26"/>
      <x:c r="C1562" s="26"/>
      <x:c r="D1562" s="26"/>
      <x:c r="E1562" s="26"/>
      <x:c r="F1562" s="26"/>
      <x:c r="G1562" s="26"/>
      <x:c r="H1562" s="26"/>
      <x:c r="I1562" s="26"/>
      <x:c r="J1562" s="26"/>
      <x:c r="K1562" s="26"/>
      <x:c r="L1562" s="26"/>
    </x:row>
    <x:row r="1563">
      <x:c r="A1563" s="26"/>
      <x:c r="B1563" s="26"/>
      <x:c r="C1563" s="26"/>
      <x:c r="D1563" s="26"/>
      <x:c r="E1563" s="26"/>
      <x:c r="F1563" s="26"/>
      <x:c r="G1563" s="26"/>
      <x:c r="H1563" s="26"/>
      <x:c r="I1563" s="26"/>
      <x:c r="J1563" s="26"/>
      <x:c r="K1563" s="26"/>
      <x:c r="L1563" s="26"/>
    </x:row>
    <x:row r="1564">
      <x:c r="A1564" s="26"/>
      <x:c r="B1564" s="26"/>
      <x:c r="C1564" s="26"/>
      <x:c r="D1564" s="26"/>
      <x:c r="E1564" s="26"/>
      <x:c r="F1564" s="26"/>
      <x:c r="G1564" s="26"/>
      <x:c r="H1564" s="26"/>
      <x:c r="I1564" s="26"/>
      <x:c r="J1564" s="26"/>
      <x:c r="K1564" s="26"/>
      <x:c r="L1564" s="26"/>
    </x:row>
    <x:row r="1565">
      <x:c r="A1565" s="26"/>
      <x:c r="B1565" s="26"/>
      <x:c r="C1565" s="26"/>
      <x:c r="D1565" s="26"/>
      <x:c r="E1565" s="26"/>
      <x:c r="F1565" s="26"/>
      <x:c r="G1565" s="26"/>
      <x:c r="H1565" s="26"/>
      <x:c r="I1565" s="26"/>
      <x:c r="J1565" s="26"/>
      <x:c r="K1565" s="26"/>
      <x:c r="L1565" s="26"/>
    </x:row>
    <x:row r="1566">
      <x:c r="A1566" s="26"/>
      <x:c r="B1566" s="26"/>
      <x:c r="C1566" s="26"/>
      <x:c r="D1566" s="26"/>
      <x:c r="E1566" s="26"/>
      <x:c r="F1566" s="26"/>
      <x:c r="G1566" s="26"/>
      <x:c r="H1566" s="26"/>
      <x:c r="I1566" s="26"/>
      <x:c r="J1566" s="26"/>
      <x:c r="K1566" s="26"/>
      <x:c r="L1566" s="26"/>
    </x:row>
    <x:row r="1567">
      <x:c r="A1567" s="26"/>
      <x:c r="B1567" s="26"/>
      <x:c r="C1567" s="26"/>
      <x:c r="D1567" s="26"/>
      <x:c r="E1567" s="26"/>
      <x:c r="F1567" s="26"/>
      <x:c r="G1567" s="26"/>
      <x:c r="H1567" s="26"/>
      <x:c r="I1567" s="26"/>
      <x:c r="J1567" s="26"/>
      <x:c r="K1567" s="26"/>
      <x:c r="L1567" s="26"/>
    </x:row>
    <x:row r="1568">
      <x:c r="A1568" s="26"/>
      <x:c r="B1568" s="26"/>
      <x:c r="C1568" s="26"/>
      <x:c r="D1568" s="26"/>
      <x:c r="E1568" s="26"/>
      <x:c r="F1568" s="26"/>
      <x:c r="G1568" s="26"/>
      <x:c r="H1568" s="26"/>
      <x:c r="I1568" s="26"/>
      <x:c r="J1568" s="26"/>
      <x:c r="K1568" s="26"/>
      <x:c r="L1568" s="26"/>
    </x:row>
    <x:row r="1569">
      <x:c r="A1569" s="26"/>
      <x:c r="B1569" s="26"/>
      <x:c r="C1569" s="26"/>
      <x:c r="D1569" s="26"/>
      <x:c r="E1569" s="26"/>
      <x:c r="F1569" s="26"/>
      <x:c r="G1569" s="26"/>
      <x:c r="H1569" s="26"/>
      <x:c r="I1569" s="26"/>
      <x:c r="J1569" s="26"/>
      <x:c r="K1569" s="26"/>
      <x:c r="L1569" s="26"/>
    </x:row>
    <x:row r="1570">
      <x:c r="A1570" s="26"/>
      <x:c r="B1570" s="26"/>
      <x:c r="C1570" s="26"/>
      <x:c r="D1570" s="26"/>
      <x:c r="E1570" s="26"/>
      <x:c r="F1570" s="26"/>
      <x:c r="G1570" s="26"/>
      <x:c r="H1570" s="26"/>
      <x:c r="I1570" s="26"/>
      <x:c r="J1570" s="26"/>
      <x:c r="K1570" s="26"/>
      <x:c r="L1570" s="26"/>
    </x:row>
    <x:row r="1571">
      <x:c r="A1571" s="26"/>
      <x:c r="B1571" s="26"/>
      <x:c r="C1571" s="26"/>
      <x:c r="D1571" s="26"/>
      <x:c r="E1571" s="26"/>
      <x:c r="F1571" s="26"/>
      <x:c r="G1571" s="26"/>
      <x:c r="H1571" s="26"/>
      <x:c r="I1571" s="26"/>
      <x:c r="J1571" s="26"/>
      <x:c r="K1571" s="26"/>
      <x:c r="L1571" s="26"/>
    </x:row>
    <x:row r="1572">
      <x:c r="A1572" s="26"/>
      <x:c r="B1572" s="26"/>
      <x:c r="C1572" s="26"/>
      <x:c r="D1572" s="26"/>
      <x:c r="E1572" s="26"/>
      <x:c r="F1572" s="26"/>
      <x:c r="G1572" s="26"/>
      <x:c r="H1572" s="26"/>
      <x:c r="I1572" s="26"/>
      <x:c r="J1572" s="26"/>
      <x:c r="K1572" s="26"/>
      <x:c r="L1572" s="26"/>
    </x:row>
    <x:row r="1573">
      <x:c r="A1573" s="26"/>
      <x:c r="B1573" s="26"/>
      <x:c r="C1573" s="26"/>
      <x:c r="D1573" s="26"/>
      <x:c r="E1573" s="26"/>
      <x:c r="F1573" s="26"/>
      <x:c r="G1573" s="26"/>
      <x:c r="H1573" s="26"/>
      <x:c r="I1573" s="26"/>
      <x:c r="J1573" s="26"/>
      <x:c r="K1573" s="26"/>
      <x:c r="L1573" s="26"/>
    </x:row>
    <x:row r="1574">
      <x:c r="A1574" s="26"/>
      <x:c r="B1574" s="26"/>
      <x:c r="C1574" s="26"/>
      <x:c r="D1574" s="26"/>
      <x:c r="E1574" s="26"/>
      <x:c r="F1574" s="26"/>
      <x:c r="G1574" s="26"/>
      <x:c r="H1574" s="26"/>
      <x:c r="I1574" s="26"/>
      <x:c r="J1574" s="26"/>
      <x:c r="K1574" s="26"/>
      <x:c r="L1574" s="26"/>
    </x:row>
    <x:row r="1575">
      <x:c r="A1575" s="26"/>
      <x:c r="B1575" s="26"/>
      <x:c r="C1575" s="26"/>
      <x:c r="D1575" s="26"/>
      <x:c r="E1575" s="26"/>
      <x:c r="F1575" s="26"/>
      <x:c r="G1575" s="26"/>
      <x:c r="H1575" s="26"/>
      <x:c r="I1575" s="26"/>
      <x:c r="J1575" s="26"/>
      <x:c r="K1575" s="26"/>
      <x:c r="L1575" s="26"/>
    </x:row>
    <x:row r="1576">
      <x:c r="A1576" s="26"/>
      <x:c r="B1576" s="26"/>
      <x:c r="C1576" s="26"/>
      <x:c r="D1576" s="26"/>
      <x:c r="E1576" s="26"/>
      <x:c r="F1576" s="26"/>
      <x:c r="G1576" s="26"/>
      <x:c r="H1576" s="26"/>
      <x:c r="I1576" s="26"/>
      <x:c r="J1576" s="26"/>
      <x:c r="K1576" s="26"/>
      <x:c r="L1576" s="26"/>
    </x:row>
    <x:row r="1577">
      <x:c r="A1577" s="26"/>
      <x:c r="B1577" s="26"/>
      <x:c r="C1577" s="26"/>
      <x:c r="D1577" s="26"/>
      <x:c r="E1577" s="26"/>
      <x:c r="F1577" s="26"/>
      <x:c r="G1577" s="26"/>
      <x:c r="H1577" s="26"/>
      <x:c r="I1577" s="26"/>
      <x:c r="J1577" s="26"/>
      <x:c r="K1577" s="26"/>
      <x:c r="L1577" s="26"/>
    </x:row>
    <x:row r="1578">
      <x:c r="A1578" s="26"/>
      <x:c r="B1578" s="26"/>
      <x:c r="C1578" s="26"/>
      <x:c r="D1578" s="26"/>
      <x:c r="E1578" s="26"/>
      <x:c r="F1578" s="26"/>
      <x:c r="G1578" s="26"/>
      <x:c r="H1578" s="26"/>
      <x:c r="I1578" s="26"/>
      <x:c r="J1578" s="26"/>
      <x:c r="K1578" s="26"/>
      <x:c r="L1578" s="26"/>
    </x:row>
    <x:row r="1579">
      <x:c r="A1579" s="26"/>
      <x:c r="B1579" s="26"/>
      <x:c r="C1579" s="26"/>
      <x:c r="D1579" s="26"/>
      <x:c r="E1579" s="26"/>
      <x:c r="F1579" s="26"/>
      <x:c r="G1579" s="26"/>
      <x:c r="H1579" s="26"/>
      <x:c r="I1579" s="26"/>
      <x:c r="J1579" s="26"/>
      <x:c r="K1579" s="26"/>
      <x:c r="L1579" s="26"/>
    </x:row>
    <x:row r="1580">
      <x:c r="A1580" s="26"/>
      <x:c r="B1580" s="26"/>
      <x:c r="C1580" s="26"/>
      <x:c r="D1580" s="26"/>
      <x:c r="E1580" s="26"/>
      <x:c r="F1580" s="26"/>
      <x:c r="G1580" s="26"/>
      <x:c r="H1580" s="26"/>
      <x:c r="I1580" s="26"/>
      <x:c r="J1580" s="26"/>
      <x:c r="K1580" s="26"/>
      <x:c r="L1580" s="26"/>
    </x:row>
    <x:row r="1581">
      <x:c r="A1581" s="26"/>
      <x:c r="B1581" s="26"/>
      <x:c r="C1581" s="26"/>
      <x:c r="D1581" s="26"/>
      <x:c r="E1581" s="26"/>
      <x:c r="F1581" s="26"/>
      <x:c r="G1581" s="26"/>
      <x:c r="H1581" s="26"/>
      <x:c r="I1581" s="26"/>
      <x:c r="J1581" s="26"/>
      <x:c r="K1581" s="26"/>
      <x:c r="L1581" s="26"/>
    </x:row>
    <x:row r="1582">
      <x:c r="A1582" s="26"/>
      <x:c r="B1582" s="26"/>
      <x:c r="C1582" s="26"/>
      <x:c r="D1582" s="26"/>
      <x:c r="E1582" s="26"/>
      <x:c r="F1582" s="26"/>
      <x:c r="G1582" s="26"/>
      <x:c r="H1582" s="26"/>
      <x:c r="I1582" s="26"/>
      <x:c r="J1582" s="26"/>
      <x:c r="K1582" s="26"/>
      <x:c r="L1582" s="26"/>
    </x:row>
    <x:row r="1583">
      <x:c r="A1583" s="26"/>
      <x:c r="B1583" s="26"/>
      <x:c r="C1583" s="26"/>
      <x:c r="D1583" s="26"/>
      <x:c r="E1583" s="26"/>
      <x:c r="F1583" s="26"/>
      <x:c r="G1583" s="26"/>
      <x:c r="H1583" s="26"/>
      <x:c r="I1583" s="26"/>
      <x:c r="J1583" s="26"/>
      <x:c r="K1583" s="26"/>
      <x:c r="L1583" s="26"/>
    </x:row>
    <x:row r="1584">
      <x:c r="A1584" s="26"/>
      <x:c r="B1584" s="26"/>
      <x:c r="C1584" s="26"/>
      <x:c r="D1584" s="26"/>
      <x:c r="E1584" s="26"/>
      <x:c r="F1584" s="26"/>
      <x:c r="G1584" s="26"/>
      <x:c r="H1584" s="26"/>
      <x:c r="I1584" s="26"/>
      <x:c r="J1584" s="26"/>
      <x:c r="K1584" s="26"/>
      <x:c r="L1584" s="26"/>
    </x:row>
    <x:row r="1585">
      <x:c r="A1585" s="26"/>
      <x:c r="B1585" s="26"/>
      <x:c r="C1585" s="26"/>
      <x:c r="D1585" s="26"/>
      <x:c r="E1585" s="26"/>
      <x:c r="F1585" s="26"/>
      <x:c r="G1585" s="26"/>
      <x:c r="H1585" s="26"/>
      <x:c r="I1585" s="26"/>
      <x:c r="J1585" s="26"/>
      <x:c r="K1585" s="26"/>
      <x:c r="L1585" s="26"/>
    </x:row>
    <x:row r="1586">
      <x:c r="A1586" s="26"/>
      <x:c r="B1586" s="26"/>
      <x:c r="C1586" s="26"/>
      <x:c r="D1586" s="26"/>
      <x:c r="E1586" s="26"/>
      <x:c r="F1586" s="26"/>
      <x:c r="G1586" s="26"/>
      <x:c r="H1586" s="26"/>
      <x:c r="I1586" s="26"/>
      <x:c r="J1586" s="26"/>
      <x:c r="K1586" s="26"/>
      <x:c r="L1586" s="26"/>
    </x:row>
    <x:row r="1587">
      <x:c r="A1587" s="26"/>
      <x:c r="B1587" s="26"/>
      <x:c r="C1587" s="26"/>
      <x:c r="D1587" s="26"/>
      <x:c r="E1587" s="26"/>
      <x:c r="F1587" s="26"/>
      <x:c r="G1587" s="26"/>
      <x:c r="H1587" s="26"/>
      <x:c r="I1587" s="26"/>
      <x:c r="J1587" s="26"/>
      <x:c r="K1587" s="26"/>
      <x:c r="L1587" s="26"/>
    </x:row>
    <x:row r="1588">
      <x:c r="A1588" s="26"/>
      <x:c r="B1588" s="26"/>
      <x:c r="C1588" s="26"/>
      <x:c r="D1588" s="26"/>
      <x:c r="E1588" s="26"/>
      <x:c r="F1588" s="26"/>
      <x:c r="G1588" s="26"/>
      <x:c r="H1588" s="26"/>
      <x:c r="I1588" s="26"/>
      <x:c r="J1588" s="26"/>
      <x:c r="K1588" s="26"/>
      <x:c r="L1588" s="26"/>
    </x:row>
    <x:row r="1589">
      <x:c r="A1589" s="26"/>
      <x:c r="B1589" s="26"/>
      <x:c r="C1589" s="26"/>
      <x:c r="D1589" s="26"/>
      <x:c r="E1589" s="26"/>
      <x:c r="F1589" s="26"/>
      <x:c r="G1589" s="26"/>
      <x:c r="H1589" s="26"/>
      <x:c r="I1589" s="26"/>
      <x:c r="J1589" s="26"/>
      <x:c r="K1589" s="26"/>
      <x:c r="L1589" s="26"/>
    </x:row>
    <x:row r="1590">
      <x:c r="A1590" s="26"/>
      <x:c r="B1590" s="26"/>
      <x:c r="C1590" s="26"/>
      <x:c r="D1590" s="26"/>
      <x:c r="E1590" s="26"/>
      <x:c r="F1590" s="26"/>
      <x:c r="G1590" s="26"/>
      <x:c r="H1590" s="26"/>
      <x:c r="I1590" s="26"/>
      <x:c r="J1590" s="26"/>
      <x:c r="K1590" s="26"/>
      <x:c r="L1590" s="26"/>
    </x:row>
    <x:row r="1591">
      <x:c r="A1591" s="26"/>
      <x:c r="B1591" s="26"/>
      <x:c r="C1591" s="26"/>
      <x:c r="D1591" s="26"/>
      <x:c r="E1591" s="26"/>
      <x:c r="F1591" s="26"/>
      <x:c r="G1591" s="26"/>
      <x:c r="H1591" s="26"/>
      <x:c r="I1591" s="26"/>
      <x:c r="J1591" s="26"/>
      <x:c r="K1591" s="26"/>
      <x:c r="L1591" s="26"/>
    </x:row>
    <x:row r="1592">
      <x:c r="A1592" s="26"/>
      <x:c r="B1592" s="26"/>
      <x:c r="C1592" s="26"/>
      <x:c r="D1592" s="26"/>
      <x:c r="E1592" s="26"/>
      <x:c r="F1592" s="26"/>
      <x:c r="G1592" s="26"/>
      <x:c r="H1592" s="26"/>
      <x:c r="I1592" s="26"/>
      <x:c r="J1592" s="26"/>
      <x:c r="K1592" s="26"/>
      <x:c r="L1592" s="26"/>
    </x:row>
    <x:row r="1593">
      <x:c r="A1593" s="26"/>
      <x:c r="B1593" s="26"/>
      <x:c r="C1593" s="26"/>
      <x:c r="D1593" s="26"/>
      <x:c r="E1593" s="26"/>
      <x:c r="F1593" s="26"/>
      <x:c r="G1593" s="26"/>
      <x:c r="H1593" s="26"/>
      <x:c r="I1593" s="26"/>
      <x:c r="J1593" s="26"/>
      <x:c r="K1593" s="26"/>
      <x:c r="L1593" s="26"/>
    </x:row>
    <x:row r="1594">
      <x:c r="A1594" s="26"/>
      <x:c r="B1594" s="26"/>
      <x:c r="C1594" s="26"/>
      <x:c r="D1594" s="26"/>
      <x:c r="E1594" s="26"/>
      <x:c r="F1594" s="26"/>
      <x:c r="G1594" s="26"/>
      <x:c r="H1594" s="26"/>
      <x:c r="I1594" s="26"/>
      <x:c r="J1594" s="26"/>
      <x:c r="K1594" s="26"/>
      <x:c r="L1594" s="26"/>
    </x:row>
    <x:row r="1595">
      <x:c r="A1595" s="26"/>
      <x:c r="B1595" s="26"/>
      <x:c r="C1595" s="26"/>
      <x:c r="D1595" s="26"/>
      <x:c r="E1595" s="26"/>
      <x:c r="F1595" s="26"/>
      <x:c r="G1595" s="26"/>
      <x:c r="H1595" s="26"/>
      <x:c r="I1595" s="26"/>
      <x:c r="J1595" s="26"/>
      <x:c r="K1595" s="26"/>
      <x:c r="L1595" s="26"/>
    </x:row>
    <x:row r="1596">
      <x:c r="A1596" s="26"/>
      <x:c r="B1596" s="26"/>
      <x:c r="C1596" s="26"/>
      <x:c r="D1596" s="26"/>
      <x:c r="E1596" s="26"/>
      <x:c r="F1596" s="26"/>
      <x:c r="G1596" s="26"/>
      <x:c r="H1596" s="26"/>
      <x:c r="I1596" s="26"/>
      <x:c r="J1596" s="26"/>
      <x:c r="K1596" s="26"/>
      <x:c r="L1596" s="26"/>
    </x:row>
    <x:row r="1597">
      <x:c r="A1597" s="26"/>
      <x:c r="B1597" s="26"/>
      <x:c r="C1597" s="26"/>
      <x:c r="D1597" s="26"/>
      <x:c r="E1597" s="26"/>
      <x:c r="F1597" s="26"/>
      <x:c r="G1597" s="26"/>
      <x:c r="H1597" s="26"/>
      <x:c r="I1597" s="26"/>
      <x:c r="J1597" s="26"/>
      <x:c r="K1597" s="26"/>
      <x:c r="L1597" s="26"/>
    </x:row>
    <x:row r="1598">
      <x:c r="A1598" s="26"/>
      <x:c r="B1598" s="26"/>
      <x:c r="C1598" s="26"/>
      <x:c r="D1598" s="26"/>
      <x:c r="E1598" s="26"/>
      <x:c r="F1598" s="26"/>
      <x:c r="G1598" s="26"/>
      <x:c r="H1598" s="26"/>
      <x:c r="I1598" s="26"/>
      <x:c r="J1598" s="26"/>
      <x:c r="K1598" s="26"/>
      <x:c r="L1598" s="26"/>
    </x:row>
    <x:row r="1599">
      <x:c r="A1599" s="26"/>
      <x:c r="B1599" s="26"/>
      <x:c r="C1599" s="26"/>
      <x:c r="D1599" s="26"/>
      <x:c r="E1599" s="26"/>
      <x:c r="F1599" s="26"/>
      <x:c r="G1599" s="26"/>
      <x:c r="H1599" s="26"/>
      <x:c r="I1599" s="26"/>
      <x:c r="J1599" s="26"/>
      <x:c r="K1599" s="26"/>
      <x:c r="L1599" s="26"/>
    </x:row>
    <x:row r="1600">
      <x:c r="A1600" s="26"/>
      <x:c r="B1600" s="26"/>
      <x:c r="C1600" s="26"/>
      <x:c r="D1600" s="26"/>
      <x:c r="E1600" s="26"/>
      <x:c r="F1600" s="26"/>
      <x:c r="G1600" s="26"/>
      <x:c r="H1600" s="26"/>
      <x:c r="I1600" s="26"/>
      <x:c r="J1600" s="26"/>
      <x:c r="K1600" s="26"/>
      <x:c r="L1600" s="26"/>
    </x:row>
    <x:row r="1601">
      <x:c r="A1601" s="26"/>
      <x:c r="B1601" s="26"/>
      <x:c r="C1601" s="26"/>
      <x:c r="D1601" s="26"/>
      <x:c r="E1601" s="26"/>
      <x:c r="F1601" s="26"/>
      <x:c r="G1601" s="26"/>
      <x:c r="H1601" s="26"/>
      <x:c r="I1601" s="26"/>
      <x:c r="J1601" s="26"/>
      <x:c r="K1601" s="26"/>
      <x:c r="L1601" s="26"/>
    </x:row>
    <x:row r="1602">
      <x:c r="A1602" s="26"/>
      <x:c r="B1602" s="26"/>
      <x:c r="C1602" s="26"/>
      <x:c r="D1602" s="26"/>
      <x:c r="E1602" s="26"/>
      <x:c r="F1602" s="26"/>
      <x:c r="G1602" s="26"/>
      <x:c r="H1602" s="26"/>
      <x:c r="I1602" s="26"/>
      <x:c r="J1602" s="26"/>
      <x:c r="K1602" s="26"/>
      <x:c r="L1602" s="26"/>
    </x:row>
    <x:row r="1603">
      <x:c r="A1603" s="26"/>
      <x:c r="B1603" s="26"/>
      <x:c r="C1603" s="26"/>
      <x:c r="D1603" s="26"/>
      <x:c r="E1603" s="26"/>
      <x:c r="F1603" s="26"/>
      <x:c r="G1603" s="26"/>
      <x:c r="H1603" s="26"/>
      <x:c r="I1603" s="26"/>
      <x:c r="J1603" s="26"/>
      <x:c r="K1603" s="26"/>
      <x:c r="L1603" s="26"/>
    </x:row>
    <x:row r="1604">
      <x:c r="A1604" s="26"/>
      <x:c r="B1604" s="26"/>
      <x:c r="C1604" s="26"/>
      <x:c r="D1604" s="26"/>
      <x:c r="E1604" s="26"/>
      <x:c r="F1604" s="26"/>
      <x:c r="G1604" s="26"/>
      <x:c r="H1604" s="26"/>
      <x:c r="I1604" s="26"/>
      <x:c r="J1604" s="26"/>
      <x:c r="K1604" s="26"/>
      <x:c r="L1604" s="26"/>
    </x:row>
    <x:row r="1605">
      <x:c r="A1605" s="26"/>
      <x:c r="B1605" s="26"/>
      <x:c r="C1605" s="26"/>
      <x:c r="D1605" s="26"/>
      <x:c r="E1605" s="26"/>
      <x:c r="F1605" s="26"/>
      <x:c r="G1605" s="26"/>
      <x:c r="H1605" s="26"/>
      <x:c r="I1605" s="26"/>
      <x:c r="J1605" s="26"/>
      <x:c r="K1605" s="26"/>
      <x:c r="L1605" s="26"/>
    </x:row>
    <x:row r="1606">
      <x:c r="A1606" s="26"/>
      <x:c r="B1606" s="26"/>
      <x:c r="C1606" s="26"/>
      <x:c r="D1606" s="26"/>
      <x:c r="E1606" s="26"/>
      <x:c r="F1606" s="26"/>
      <x:c r="G1606" s="26"/>
      <x:c r="H1606" s="26"/>
      <x:c r="I1606" s="26"/>
      <x:c r="J1606" s="26"/>
      <x:c r="K1606" s="26"/>
      <x:c r="L1606" s="26"/>
    </x:row>
    <x:row r="1607">
      <x:c r="A1607" s="26"/>
      <x:c r="B1607" s="26"/>
      <x:c r="C1607" s="26"/>
      <x:c r="D1607" s="26"/>
      <x:c r="E1607" s="26"/>
      <x:c r="F1607" s="26"/>
      <x:c r="G1607" s="26"/>
      <x:c r="H1607" s="26"/>
      <x:c r="I1607" s="26"/>
      <x:c r="J1607" s="26"/>
      <x:c r="K1607" s="26"/>
      <x:c r="L1607" s="26"/>
    </x:row>
    <x:row r="1608">
      <x:c r="A1608" s="26"/>
      <x:c r="B1608" s="26"/>
      <x:c r="C1608" s="26"/>
      <x:c r="D1608" s="26"/>
      <x:c r="E1608" s="26"/>
      <x:c r="F1608" s="26"/>
      <x:c r="G1608" s="26"/>
      <x:c r="H1608" s="26"/>
      <x:c r="I1608" s="26"/>
      <x:c r="J1608" s="26"/>
      <x:c r="K1608" s="26"/>
      <x:c r="L1608" s="26"/>
    </x:row>
    <x:row r="1609">
      <x:c r="A1609" s="26"/>
      <x:c r="B1609" s="26"/>
      <x:c r="C1609" s="26"/>
      <x:c r="D1609" s="26"/>
      <x:c r="E1609" s="26"/>
      <x:c r="F1609" s="26"/>
      <x:c r="G1609" s="26"/>
      <x:c r="H1609" s="26"/>
      <x:c r="I1609" s="26"/>
      <x:c r="J1609" s="26"/>
      <x:c r="K1609" s="26"/>
      <x:c r="L1609" s="26"/>
    </x:row>
    <x:row r="1610">
      <x:c r="A1610" s="26"/>
      <x:c r="B1610" s="26"/>
      <x:c r="C1610" s="26"/>
      <x:c r="D1610" s="26"/>
      <x:c r="E1610" s="26"/>
      <x:c r="F1610" s="26"/>
      <x:c r="G1610" s="26"/>
      <x:c r="H1610" s="26"/>
      <x:c r="I1610" s="26"/>
      <x:c r="J1610" s="26"/>
      <x:c r="K1610" s="26"/>
      <x:c r="L1610" s="26"/>
    </x:row>
    <x:row r="1611">
      <x:c r="A1611" s="26"/>
      <x:c r="B1611" s="26"/>
      <x:c r="C1611" s="26"/>
      <x:c r="D1611" s="26"/>
      <x:c r="E1611" s="26"/>
      <x:c r="F1611" s="26"/>
      <x:c r="G1611" s="26"/>
      <x:c r="H1611" s="26"/>
      <x:c r="I1611" s="26"/>
      <x:c r="J1611" s="26"/>
      <x:c r="K1611" s="26"/>
      <x:c r="L1611" s="26"/>
    </x:row>
    <x:row r="1612">
      <x:c r="A1612" s="26"/>
      <x:c r="B1612" s="26"/>
      <x:c r="C1612" s="26"/>
      <x:c r="D1612" s="26"/>
      <x:c r="E1612" s="26"/>
      <x:c r="F1612" s="26"/>
      <x:c r="G1612" s="26"/>
      <x:c r="H1612" s="26"/>
      <x:c r="I1612" s="26"/>
      <x:c r="J1612" s="26"/>
      <x:c r="K1612" s="26"/>
      <x:c r="L1612" s="26"/>
    </x:row>
    <x:row r="1613">
      <x:c r="A1613" s="26"/>
      <x:c r="B1613" s="26"/>
      <x:c r="C1613" s="26"/>
      <x:c r="D1613" s="26"/>
      <x:c r="E1613" s="26"/>
      <x:c r="F1613" s="26"/>
      <x:c r="G1613" s="26"/>
      <x:c r="H1613" s="26"/>
      <x:c r="I1613" s="26"/>
      <x:c r="J1613" s="26"/>
      <x:c r="K1613" s="26"/>
      <x:c r="L1613" s="26"/>
    </x:row>
    <x:row r="1614">
      <x:c r="A1614" s="26"/>
      <x:c r="B1614" s="26"/>
      <x:c r="C1614" s="26"/>
      <x:c r="D1614" s="26"/>
      <x:c r="E1614" s="26"/>
      <x:c r="F1614" s="26"/>
      <x:c r="G1614" s="26"/>
      <x:c r="H1614" s="26"/>
      <x:c r="I1614" s="26"/>
      <x:c r="J1614" s="26"/>
      <x:c r="K1614" s="26"/>
      <x:c r="L1614" s="26"/>
    </x:row>
    <x:row r="1615">
      <x:c r="A1615" s="26"/>
      <x:c r="B1615" s="26"/>
      <x:c r="C1615" s="26"/>
      <x:c r="D1615" s="26"/>
      <x:c r="E1615" s="26"/>
      <x:c r="F1615" s="26"/>
      <x:c r="G1615" s="26"/>
      <x:c r="H1615" s="26"/>
      <x:c r="I1615" s="26"/>
      <x:c r="J1615" s="26"/>
      <x:c r="K1615" s="26"/>
      <x:c r="L1615" s="26"/>
    </x:row>
    <x:row r="1616">
      <x:c r="A1616" s="26"/>
      <x:c r="B1616" s="26"/>
      <x:c r="C1616" s="26"/>
      <x:c r="D1616" s="26"/>
      <x:c r="E1616" s="26"/>
      <x:c r="F1616" s="26"/>
      <x:c r="G1616" s="26"/>
      <x:c r="H1616" s="26"/>
      <x:c r="I1616" s="26"/>
      <x:c r="J1616" s="26"/>
      <x:c r="K1616" s="26"/>
      <x:c r="L1616" s="26"/>
    </x:row>
    <x:row r="1617">
      <x:c r="A1617" s="26"/>
      <x:c r="B1617" s="26"/>
      <x:c r="C1617" s="26"/>
      <x:c r="D1617" s="26"/>
      <x:c r="E1617" s="26"/>
      <x:c r="F1617" s="26"/>
      <x:c r="G1617" s="26"/>
      <x:c r="H1617" s="26"/>
      <x:c r="I1617" s="26"/>
      <x:c r="J1617" s="26"/>
      <x:c r="K1617" s="26"/>
      <x:c r="L1617" s="26"/>
    </x:row>
    <x:row r="1618">
      <x:c r="A1618" s="26"/>
      <x:c r="B1618" s="26"/>
      <x:c r="C1618" s="26"/>
      <x:c r="D1618" s="26"/>
      <x:c r="E1618" s="26"/>
      <x:c r="F1618" s="26"/>
      <x:c r="G1618" s="26"/>
      <x:c r="H1618" s="26"/>
      <x:c r="I1618" s="26"/>
      <x:c r="J1618" s="26"/>
      <x:c r="K1618" s="26"/>
      <x:c r="L1618" s="26"/>
    </x:row>
    <x:row r="1619">
      <x:c r="A1619" s="26"/>
      <x:c r="B1619" s="26"/>
      <x:c r="C1619" s="26"/>
      <x:c r="D1619" s="26"/>
      <x:c r="E1619" s="26"/>
      <x:c r="F1619" s="26"/>
      <x:c r="G1619" s="26"/>
      <x:c r="H1619" s="26"/>
      <x:c r="I1619" s="26"/>
      <x:c r="J1619" s="26"/>
      <x:c r="K1619" s="26"/>
      <x:c r="L1619" s="26"/>
    </x:row>
    <x:row r="1620">
      <x:c r="A1620" s="26"/>
      <x:c r="B1620" s="26"/>
      <x:c r="C1620" s="26"/>
      <x:c r="D1620" s="26"/>
      <x:c r="E1620" s="26"/>
      <x:c r="F1620" s="26"/>
      <x:c r="G1620" s="26"/>
      <x:c r="H1620" s="26"/>
      <x:c r="I1620" s="26"/>
      <x:c r="J1620" s="26"/>
      <x:c r="K1620" s="26"/>
      <x:c r="L1620" s="26"/>
    </x:row>
    <x:row r="1621">
      <x:c r="A1621" s="26"/>
      <x:c r="B1621" s="26"/>
      <x:c r="C1621" s="26"/>
      <x:c r="D1621" s="26"/>
      <x:c r="E1621" s="26"/>
      <x:c r="F1621" s="26"/>
      <x:c r="G1621" s="26"/>
      <x:c r="H1621" s="26"/>
      <x:c r="I1621" s="26"/>
      <x:c r="J1621" s="26"/>
      <x:c r="K1621" s="26"/>
      <x:c r="L1621" s="26"/>
    </x:row>
    <x:row r="1622">
      <x:c r="A1622" s="26"/>
      <x:c r="B1622" s="26"/>
      <x:c r="C1622" s="26"/>
      <x:c r="D1622" s="26"/>
      <x:c r="E1622" s="26"/>
      <x:c r="F1622" s="26"/>
      <x:c r="G1622" s="26"/>
      <x:c r="H1622" s="26"/>
      <x:c r="I1622" s="26"/>
      <x:c r="J1622" s="26"/>
      <x:c r="K1622" s="26"/>
      <x:c r="L1622" s="26"/>
    </x:row>
    <x:row r="1623">
      <x:c r="A1623" s="26"/>
      <x:c r="B1623" s="26"/>
      <x:c r="C1623" s="26"/>
      <x:c r="D1623" s="26"/>
      <x:c r="E1623" s="26"/>
      <x:c r="F1623" s="26"/>
      <x:c r="G1623" s="26"/>
      <x:c r="H1623" s="26"/>
      <x:c r="I1623" s="26"/>
      <x:c r="J1623" s="26"/>
      <x:c r="K1623" s="26"/>
      <x:c r="L1623" s="26"/>
    </x:row>
    <x:row r="1624">
      <x:c r="A1624" s="26"/>
      <x:c r="B1624" s="26"/>
      <x:c r="C1624" s="26"/>
      <x:c r="D1624" s="26"/>
      <x:c r="E1624" s="26"/>
      <x:c r="F1624" s="26"/>
      <x:c r="G1624" s="26"/>
      <x:c r="H1624" s="26"/>
      <x:c r="I1624" s="26"/>
      <x:c r="J1624" s="26"/>
      <x:c r="K1624" s="26"/>
      <x:c r="L1624" s="26"/>
    </x:row>
    <x:row r="1625">
      <x:c r="A1625" s="26"/>
      <x:c r="B1625" s="26"/>
      <x:c r="C1625" s="26"/>
      <x:c r="D1625" s="26"/>
      <x:c r="E1625" s="26"/>
      <x:c r="F1625" s="26"/>
      <x:c r="G1625" s="26"/>
      <x:c r="H1625" s="26"/>
      <x:c r="I1625" s="26"/>
      <x:c r="J1625" s="26"/>
      <x:c r="K1625" s="26"/>
      <x:c r="L1625" s="26"/>
    </x:row>
    <x:row r="1626">
      <x:c r="A1626" s="26"/>
      <x:c r="B1626" s="26"/>
      <x:c r="C1626" s="26"/>
      <x:c r="D1626" s="26"/>
      <x:c r="E1626" s="26"/>
      <x:c r="F1626" s="26"/>
      <x:c r="G1626" s="26"/>
      <x:c r="H1626" s="26"/>
      <x:c r="I1626" s="26"/>
      <x:c r="J1626" s="26"/>
      <x:c r="K1626" s="26"/>
      <x:c r="L1626" s="26"/>
    </x:row>
    <x:row r="1627">
      <x:c r="A1627" s="26"/>
      <x:c r="B1627" s="26"/>
      <x:c r="C1627" s="26"/>
      <x:c r="D1627" s="26"/>
      <x:c r="E1627" s="26"/>
      <x:c r="F1627" s="26"/>
      <x:c r="G1627" s="26"/>
      <x:c r="H1627" s="26"/>
      <x:c r="I1627" s="26"/>
      <x:c r="J1627" s="26"/>
      <x:c r="K1627" s="26"/>
      <x:c r="L1627" s="26"/>
    </x:row>
    <x:row r="1628">
      <x:c r="A1628" s="26"/>
      <x:c r="B1628" s="26"/>
      <x:c r="C1628" s="26"/>
      <x:c r="D1628" s="26"/>
      <x:c r="E1628" s="26"/>
      <x:c r="F1628" s="26"/>
      <x:c r="G1628" s="26"/>
      <x:c r="H1628" s="26"/>
      <x:c r="I1628" s="26"/>
      <x:c r="J1628" s="26"/>
      <x:c r="K1628" s="26"/>
      <x:c r="L1628" s="26"/>
    </x:row>
    <x:row r="1629">
      <x:c r="A1629" s="26"/>
      <x:c r="B1629" s="26"/>
      <x:c r="C1629" s="26"/>
      <x:c r="D1629" s="26"/>
      <x:c r="E1629" s="26"/>
      <x:c r="F1629" s="26"/>
      <x:c r="G1629" s="26"/>
      <x:c r="H1629" s="26"/>
      <x:c r="I1629" s="26"/>
      <x:c r="J1629" s="26"/>
      <x:c r="K1629" s="26"/>
      <x:c r="L1629" s="26"/>
    </x:row>
    <x:row r="1630">
      <x:c r="A1630" s="26"/>
      <x:c r="B1630" s="26"/>
      <x:c r="C1630" s="26"/>
      <x:c r="D1630" s="26"/>
      <x:c r="E1630" s="26"/>
      <x:c r="F1630" s="26"/>
      <x:c r="G1630" s="26"/>
      <x:c r="H1630" s="26"/>
      <x:c r="I1630" s="26"/>
      <x:c r="J1630" s="26"/>
      <x:c r="K1630" s="26"/>
      <x:c r="L1630" s="26"/>
    </x:row>
    <x:row r="1631">
      <x:c r="A1631" s="26"/>
      <x:c r="B1631" s="26"/>
      <x:c r="C1631" s="26"/>
      <x:c r="D1631" s="26"/>
      <x:c r="E1631" s="26"/>
      <x:c r="F1631" s="26"/>
      <x:c r="G1631" s="26"/>
      <x:c r="H1631" s="26"/>
      <x:c r="I1631" s="26"/>
      <x:c r="J1631" s="26"/>
      <x:c r="K1631" s="26"/>
      <x:c r="L1631" s="26"/>
    </x:row>
    <x:row r="1632">
      <x:c r="A1632" s="26"/>
      <x:c r="B1632" s="26"/>
      <x:c r="C1632" s="26"/>
      <x:c r="D1632" s="26"/>
      <x:c r="E1632" s="26"/>
      <x:c r="F1632" s="26"/>
      <x:c r="G1632" s="26"/>
      <x:c r="H1632" s="26"/>
      <x:c r="I1632" s="26"/>
      <x:c r="J1632" s="26"/>
      <x:c r="K1632" s="26"/>
      <x:c r="L1632" s="26"/>
    </x:row>
    <x:row r="1633">
      <x:c r="A1633" s="26"/>
      <x:c r="B1633" s="26"/>
      <x:c r="C1633" s="26"/>
      <x:c r="D1633" s="26"/>
      <x:c r="E1633" s="26"/>
      <x:c r="F1633" s="26"/>
      <x:c r="G1633" s="26"/>
      <x:c r="H1633" s="26"/>
      <x:c r="I1633" s="26"/>
      <x:c r="J1633" s="26"/>
      <x:c r="K1633" s="26"/>
      <x:c r="L1633" s="26"/>
    </x:row>
    <x:row r="1634">
      <x:c r="A1634" s="26"/>
      <x:c r="B1634" s="26"/>
      <x:c r="C1634" s="26"/>
      <x:c r="D1634" s="26"/>
      <x:c r="E1634" s="26"/>
      <x:c r="F1634" s="26"/>
      <x:c r="G1634" s="26"/>
      <x:c r="H1634" s="26"/>
      <x:c r="I1634" s="26"/>
      <x:c r="J1634" s="26"/>
      <x:c r="K1634" s="26"/>
      <x:c r="L1634" s="26"/>
    </x:row>
    <x:row r="1635">
      <x:c r="A1635" s="26"/>
      <x:c r="B1635" s="26"/>
      <x:c r="C1635" s="26"/>
      <x:c r="D1635" s="26"/>
      <x:c r="E1635" s="26"/>
      <x:c r="F1635" s="26"/>
      <x:c r="G1635" s="26"/>
      <x:c r="H1635" s="26"/>
      <x:c r="I1635" s="26"/>
      <x:c r="J1635" s="26"/>
      <x:c r="K1635" s="26"/>
      <x:c r="L1635" s="26"/>
    </x:row>
    <x:row r="1636">
      <x:c r="A1636" s="26"/>
      <x:c r="B1636" s="26"/>
      <x:c r="C1636" s="26"/>
      <x:c r="D1636" s="26"/>
      <x:c r="E1636" s="26"/>
      <x:c r="F1636" s="26"/>
      <x:c r="G1636" s="26"/>
      <x:c r="H1636" s="26"/>
      <x:c r="I1636" s="26"/>
      <x:c r="J1636" s="26"/>
      <x:c r="K1636" s="26"/>
      <x:c r="L1636" s="26"/>
    </x:row>
    <x:row r="1637">
      <x:c r="A1637" s="26"/>
      <x:c r="B1637" s="26"/>
      <x:c r="C1637" s="26"/>
      <x:c r="D1637" s="26"/>
      <x:c r="E1637" s="26"/>
      <x:c r="F1637" s="26"/>
      <x:c r="G1637" s="26"/>
      <x:c r="H1637" s="26"/>
      <x:c r="I1637" s="26"/>
      <x:c r="J1637" s="26"/>
      <x:c r="K1637" s="26"/>
      <x:c r="L1637" s="26"/>
    </x:row>
    <x:row r="1638">
      <x:c r="A1638" s="26"/>
      <x:c r="B1638" s="26"/>
      <x:c r="C1638" s="26"/>
      <x:c r="D1638" s="26"/>
      <x:c r="E1638" s="26"/>
      <x:c r="F1638" s="26"/>
      <x:c r="G1638" s="26"/>
      <x:c r="H1638" s="26"/>
      <x:c r="I1638" s="26"/>
      <x:c r="J1638" s="26"/>
      <x:c r="K1638" s="26"/>
      <x:c r="L1638" s="26"/>
    </x:row>
    <x:row r="1639">
      <x:c r="A1639" s="26"/>
      <x:c r="B1639" s="26"/>
      <x:c r="C1639" s="26"/>
      <x:c r="D1639" s="26"/>
      <x:c r="E1639" s="26"/>
      <x:c r="F1639" s="26"/>
      <x:c r="G1639" s="26"/>
      <x:c r="H1639" s="26"/>
      <x:c r="I1639" s="26"/>
      <x:c r="J1639" s="26"/>
      <x:c r="K1639" s="26"/>
      <x:c r="L1639" s="26"/>
    </x:row>
    <x:row r="1640">
      <x:c r="A1640" s="26"/>
      <x:c r="B1640" s="26"/>
      <x:c r="C1640" s="26"/>
      <x:c r="D1640" s="26"/>
      <x:c r="E1640" s="26"/>
      <x:c r="F1640" s="26"/>
      <x:c r="G1640" s="26"/>
      <x:c r="H1640" s="26"/>
      <x:c r="I1640" s="26"/>
      <x:c r="J1640" s="26"/>
      <x:c r="K1640" s="26"/>
      <x:c r="L1640" s="26"/>
    </x:row>
    <x:row r="1641">
      <x:c r="A1641" s="26"/>
      <x:c r="B1641" s="26"/>
      <x:c r="C1641" s="26"/>
      <x:c r="D1641" s="26"/>
      <x:c r="E1641" s="26"/>
      <x:c r="F1641" s="26"/>
      <x:c r="G1641" s="26"/>
      <x:c r="H1641" s="26"/>
      <x:c r="I1641" s="26"/>
      <x:c r="J1641" s="26"/>
      <x:c r="K1641" s="26"/>
      <x:c r="L1641" s="26"/>
    </x:row>
    <x:row r="1642">
      <x:c r="A1642" s="26"/>
      <x:c r="B1642" s="26"/>
      <x:c r="C1642" s="26"/>
      <x:c r="D1642" s="26"/>
      <x:c r="E1642" s="26"/>
      <x:c r="F1642" s="26"/>
      <x:c r="G1642" s="26"/>
      <x:c r="H1642" s="26"/>
      <x:c r="I1642" s="26"/>
      <x:c r="J1642" s="26"/>
      <x:c r="K1642" s="26"/>
      <x:c r="L1642" s="26"/>
    </x:row>
    <x:row r="1643">
      <x:c r="A1643" s="26"/>
      <x:c r="B1643" s="26"/>
      <x:c r="C1643" s="26"/>
      <x:c r="D1643" s="26"/>
      <x:c r="E1643" s="26"/>
      <x:c r="F1643" s="26"/>
      <x:c r="G1643" s="26"/>
      <x:c r="H1643" s="26"/>
      <x:c r="I1643" s="26"/>
      <x:c r="J1643" s="26"/>
      <x:c r="K1643" s="26"/>
      <x:c r="L1643" s="26"/>
    </x:row>
    <x:row r="1644">
      <x:c r="A1644" s="26"/>
      <x:c r="B1644" s="26"/>
      <x:c r="C1644" s="26"/>
      <x:c r="D1644" s="26"/>
      <x:c r="E1644" s="26"/>
      <x:c r="F1644" s="26"/>
      <x:c r="G1644" s="26"/>
      <x:c r="H1644" s="26"/>
      <x:c r="I1644" s="26"/>
      <x:c r="J1644" s="26"/>
      <x:c r="K1644" s="26"/>
      <x:c r="L1644" s="26"/>
    </x:row>
    <x:row r="1645">
      <x:c r="A1645" s="26"/>
      <x:c r="B1645" s="26"/>
      <x:c r="C1645" s="26"/>
      <x:c r="D1645" s="26"/>
      <x:c r="E1645" s="26"/>
      <x:c r="F1645" s="26"/>
      <x:c r="G1645" s="26"/>
      <x:c r="H1645" s="26"/>
      <x:c r="I1645" s="26"/>
      <x:c r="J1645" s="26"/>
      <x:c r="K1645" s="26"/>
      <x:c r="L1645" s="26"/>
    </x:row>
    <x:row r="1646">
      <x:c r="A1646" s="26"/>
      <x:c r="B1646" s="26"/>
      <x:c r="C1646" s="26"/>
      <x:c r="D1646" s="26"/>
      <x:c r="E1646" s="26"/>
      <x:c r="F1646" s="26"/>
      <x:c r="G1646" s="26"/>
      <x:c r="H1646" s="26"/>
      <x:c r="I1646" s="26"/>
      <x:c r="J1646" s="26"/>
      <x:c r="K1646" s="26"/>
      <x:c r="L1646" s="26"/>
    </x:row>
    <x:row r="1647">
      <x:c r="A1647" s="26"/>
      <x:c r="B1647" s="26"/>
      <x:c r="C1647" s="26"/>
      <x:c r="D1647" s="26"/>
      <x:c r="E1647" s="26"/>
      <x:c r="F1647" s="26"/>
      <x:c r="G1647" s="26"/>
      <x:c r="H1647" s="26"/>
      <x:c r="I1647" s="26"/>
      <x:c r="J1647" s="26"/>
      <x:c r="K1647" s="26"/>
      <x:c r="L1647" s="26"/>
    </x:row>
    <x:row r="1648">
      <x:c r="A1648" s="26"/>
      <x:c r="B1648" s="26"/>
      <x:c r="C1648" s="26"/>
      <x:c r="D1648" s="26"/>
      <x:c r="E1648" s="26"/>
      <x:c r="F1648" s="26"/>
      <x:c r="G1648" s="26"/>
      <x:c r="H1648" s="26"/>
      <x:c r="I1648" s="26"/>
      <x:c r="J1648" s="26"/>
      <x:c r="K1648" s="26"/>
      <x:c r="L1648" s="26"/>
    </x:row>
    <x:row r="1649">
      <x:c r="A1649" s="26"/>
      <x:c r="B1649" s="26"/>
      <x:c r="C1649" s="26"/>
      <x:c r="D1649" s="26"/>
      <x:c r="E1649" s="26"/>
      <x:c r="F1649" s="26"/>
      <x:c r="G1649" s="26"/>
      <x:c r="H1649" s="26"/>
      <x:c r="I1649" s="26"/>
      <x:c r="J1649" s="26"/>
      <x:c r="K1649" s="26"/>
      <x:c r="L1649" s="26"/>
    </x:row>
    <x:row r="1650">
      <x:c r="A1650" s="26"/>
      <x:c r="B1650" s="26"/>
      <x:c r="C1650" s="26"/>
      <x:c r="D1650" s="26"/>
      <x:c r="E1650" s="26"/>
      <x:c r="F1650" s="26"/>
      <x:c r="G1650" s="26"/>
      <x:c r="H1650" s="26"/>
      <x:c r="I1650" s="26"/>
      <x:c r="J1650" s="26"/>
      <x:c r="K1650" s="26"/>
      <x:c r="L1650" s="26"/>
    </x:row>
    <x:row r="1651">
      <x:c r="A1651" s="26"/>
      <x:c r="B1651" s="26"/>
      <x:c r="C1651" s="26"/>
      <x:c r="D1651" s="26"/>
      <x:c r="E1651" s="26"/>
      <x:c r="F1651" s="26"/>
      <x:c r="G1651" s="26"/>
      <x:c r="H1651" s="26"/>
      <x:c r="I1651" s="26"/>
      <x:c r="J1651" s="26"/>
      <x:c r="K1651" s="26"/>
      <x:c r="L1651" s="26"/>
    </x:row>
    <x:row r="1652">
      <x:c r="A1652" s="26"/>
      <x:c r="B1652" s="26"/>
      <x:c r="C1652" s="26"/>
      <x:c r="D1652" s="26"/>
      <x:c r="E1652" s="26"/>
      <x:c r="F1652" s="26"/>
      <x:c r="G1652" s="26"/>
      <x:c r="H1652" s="26"/>
      <x:c r="I1652" s="26"/>
      <x:c r="J1652" s="26"/>
      <x:c r="K1652" s="26"/>
      <x:c r="L1652" s="26"/>
    </x:row>
    <x:row r="1653">
      <x:c r="A1653" s="26"/>
      <x:c r="B1653" s="26"/>
      <x:c r="C1653" s="26"/>
      <x:c r="D1653" s="26"/>
      <x:c r="E1653" s="26"/>
      <x:c r="F1653" s="26"/>
      <x:c r="G1653" s="26"/>
      <x:c r="H1653" s="26"/>
      <x:c r="I1653" s="26"/>
      <x:c r="J1653" s="26"/>
      <x:c r="K1653" s="26"/>
      <x:c r="L1653" s="26"/>
    </x:row>
    <x:row r="1654">
      <x:c r="A1654" s="26"/>
      <x:c r="B1654" s="26"/>
      <x:c r="C1654" s="26"/>
      <x:c r="D1654" s="26"/>
      <x:c r="E1654" s="26"/>
      <x:c r="F1654" s="26"/>
      <x:c r="G1654" s="26"/>
      <x:c r="H1654" s="26"/>
      <x:c r="I1654" s="26"/>
      <x:c r="J1654" s="26"/>
      <x:c r="K1654" s="26"/>
      <x:c r="L1654" s="26"/>
    </x:row>
    <x:row r="1655">
      <x:c r="A1655" s="26"/>
      <x:c r="B1655" s="26"/>
      <x:c r="C1655" s="26"/>
      <x:c r="D1655" s="26"/>
      <x:c r="E1655" s="26"/>
      <x:c r="F1655" s="26"/>
      <x:c r="G1655" s="26"/>
      <x:c r="H1655" s="26"/>
      <x:c r="I1655" s="26"/>
      <x:c r="J1655" s="26"/>
      <x:c r="K1655" s="26"/>
      <x:c r="L1655" s="26"/>
    </x:row>
    <x:row r="1656">
      <x:c r="A1656" s="26"/>
      <x:c r="B1656" s="26"/>
      <x:c r="C1656" s="26"/>
      <x:c r="D1656" s="26"/>
      <x:c r="E1656" s="26"/>
      <x:c r="F1656" s="26"/>
      <x:c r="G1656" s="26"/>
      <x:c r="H1656" s="26"/>
      <x:c r="I1656" s="26"/>
      <x:c r="J1656" s="26"/>
      <x:c r="K1656" s="26"/>
      <x:c r="L1656" s="26"/>
    </x:row>
    <x:row r="1657">
      <x:c r="A1657" s="26"/>
      <x:c r="B1657" s="26"/>
      <x:c r="C1657" s="26"/>
      <x:c r="D1657" s="26"/>
      <x:c r="E1657" s="26"/>
      <x:c r="F1657" s="26"/>
      <x:c r="G1657" s="26"/>
      <x:c r="H1657" s="26"/>
      <x:c r="I1657" s="26"/>
      <x:c r="J1657" s="26"/>
      <x:c r="K1657" s="26"/>
      <x:c r="L1657" s="26"/>
    </x:row>
    <x:row r="1658">
      <x:c r="A1658" s="26"/>
      <x:c r="B1658" s="26"/>
      <x:c r="C1658" s="26"/>
      <x:c r="D1658" s="26"/>
      <x:c r="E1658" s="26"/>
      <x:c r="F1658" s="26"/>
      <x:c r="G1658" s="26"/>
      <x:c r="H1658" s="26"/>
      <x:c r="I1658" s="26"/>
      <x:c r="J1658" s="26"/>
      <x:c r="K1658" s="26"/>
      <x:c r="L1658" s="26"/>
    </x:row>
    <x:row r="1659">
      <x:c r="A1659" s="26"/>
      <x:c r="B1659" s="26"/>
      <x:c r="C1659" s="26"/>
      <x:c r="D1659" s="26"/>
      <x:c r="E1659" s="26"/>
      <x:c r="F1659" s="26"/>
      <x:c r="G1659" s="26"/>
      <x:c r="H1659" s="26"/>
      <x:c r="I1659" s="26"/>
      <x:c r="J1659" s="26"/>
      <x:c r="K1659" s="26"/>
      <x:c r="L1659" s="26"/>
    </x:row>
    <x:row r="1660">
      <x:c r="A1660" s="26"/>
      <x:c r="B1660" s="26"/>
      <x:c r="C1660" s="26"/>
      <x:c r="D1660" s="26"/>
      <x:c r="E1660" s="26"/>
      <x:c r="F1660" s="26"/>
      <x:c r="G1660" s="26"/>
      <x:c r="H1660" s="26"/>
      <x:c r="I1660" s="26"/>
      <x:c r="J1660" s="26"/>
      <x:c r="K1660" s="26"/>
      <x:c r="L1660" s="26"/>
    </x:row>
    <x:row r="1661">
      <x:c r="A1661" s="26"/>
      <x:c r="B1661" s="26"/>
      <x:c r="C1661" s="26"/>
      <x:c r="D1661" s="26"/>
      <x:c r="E1661" s="26"/>
      <x:c r="F1661" s="26"/>
      <x:c r="G1661" s="26"/>
      <x:c r="H1661" s="26"/>
      <x:c r="I1661" s="26"/>
      <x:c r="J1661" s="26"/>
      <x:c r="K1661" s="26"/>
      <x:c r="L1661" s="26"/>
    </x:row>
    <x:row r="1662">
      <x:c r="A1662" s="26"/>
      <x:c r="B1662" s="26"/>
      <x:c r="C1662" s="26"/>
      <x:c r="D1662" s="26"/>
      <x:c r="E1662" s="26"/>
      <x:c r="F1662" s="26"/>
      <x:c r="G1662" s="26"/>
      <x:c r="H1662" s="26"/>
      <x:c r="I1662" s="26"/>
      <x:c r="J1662" s="26"/>
      <x:c r="K1662" s="26"/>
      <x:c r="L1662" s="26"/>
    </x:row>
    <x:row r="1663">
      <x:c r="A1663" s="26"/>
      <x:c r="B1663" s="26"/>
      <x:c r="C1663" s="26"/>
      <x:c r="D1663" s="26"/>
      <x:c r="E1663" s="26"/>
      <x:c r="F1663" s="26"/>
      <x:c r="G1663" s="26"/>
      <x:c r="H1663" s="26"/>
      <x:c r="I1663" s="26"/>
      <x:c r="J1663" s="26"/>
      <x:c r="K1663" s="26"/>
      <x:c r="L1663" s="26"/>
    </x:row>
    <x:row r="1664">
      <x:c r="A1664" s="26"/>
      <x:c r="B1664" s="26"/>
      <x:c r="C1664" s="26"/>
      <x:c r="D1664" s="26"/>
      <x:c r="E1664" s="26"/>
      <x:c r="F1664" s="26"/>
      <x:c r="G1664" s="26"/>
      <x:c r="H1664" s="26"/>
      <x:c r="I1664" s="26"/>
      <x:c r="J1664" s="26"/>
      <x:c r="K1664" s="26"/>
      <x:c r="L1664" s="26"/>
    </x:row>
    <x:row r="1665">
      <x:c r="A1665" s="26"/>
      <x:c r="B1665" s="26"/>
      <x:c r="C1665" s="26"/>
      <x:c r="D1665" s="26"/>
      <x:c r="E1665" s="26"/>
      <x:c r="F1665" s="26"/>
      <x:c r="G1665" s="26"/>
      <x:c r="H1665" s="26"/>
      <x:c r="I1665" s="26"/>
      <x:c r="J1665" s="26"/>
      <x:c r="K1665" s="26"/>
      <x:c r="L1665" s="26"/>
    </x:row>
    <x:row r="1666">
      <x:c r="A1666" s="26"/>
      <x:c r="B1666" s="26"/>
      <x:c r="C1666" s="26"/>
      <x:c r="D1666" s="26"/>
      <x:c r="E1666" s="26"/>
      <x:c r="F1666" s="26"/>
      <x:c r="G1666" s="26"/>
      <x:c r="H1666" s="26"/>
      <x:c r="I1666" s="26"/>
      <x:c r="J1666" s="26"/>
      <x:c r="K1666" s="26"/>
      <x:c r="L1666" s="26"/>
    </x:row>
    <x:row r="1667">
      <x:c r="A1667" s="26"/>
      <x:c r="B1667" s="26"/>
      <x:c r="C1667" s="26"/>
      <x:c r="D1667" s="26"/>
      <x:c r="E1667" s="26"/>
      <x:c r="F1667" s="26"/>
      <x:c r="G1667" s="26"/>
      <x:c r="H1667" s="26"/>
      <x:c r="I1667" s="26"/>
      <x:c r="J1667" s="26"/>
      <x:c r="K1667" s="26"/>
      <x:c r="L1667" s="26"/>
    </x:row>
    <x:row r="1668">
      <x:c r="A1668" s="26"/>
      <x:c r="B1668" s="26"/>
      <x:c r="C1668" s="26"/>
      <x:c r="D1668" s="26"/>
      <x:c r="E1668" s="26"/>
      <x:c r="F1668" s="26"/>
      <x:c r="G1668" s="26"/>
      <x:c r="H1668" s="26"/>
      <x:c r="I1668" s="26"/>
      <x:c r="J1668" s="26"/>
      <x:c r="K1668" s="26"/>
      <x:c r="L1668" s="26"/>
    </x:row>
    <x:row r="1669">
      <x:c r="A1669" s="26"/>
      <x:c r="B1669" s="26"/>
      <x:c r="C1669" s="26"/>
      <x:c r="D1669" s="26"/>
      <x:c r="E1669" s="26"/>
      <x:c r="F1669" s="26"/>
      <x:c r="G1669" s="26"/>
      <x:c r="H1669" s="26"/>
      <x:c r="I1669" s="26"/>
      <x:c r="J1669" s="26"/>
      <x:c r="K1669" s="26"/>
      <x:c r="L1669" s="26"/>
    </x:row>
    <x:row r="1670">
      <x:c r="A1670" s="26"/>
      <x:c r="B1670" s="26"/>
      <x:c r="C1670" s="26"/>
      <x:c r="D1670" s="26"/>
      <x:c r="E1670" s="26"/>
      <x:c r="F1670" s="26"/>
      <x:c r="G1670" s="26"/>
      <x:c r="H1670" s="26"/>
      <x:c r="I1670" s="26"/>
      <x:c r="J1670" s="26"/>
      <x:c r="K1670" s="26"/>
      <x:c r="L1670" s="26"/>
    </x:row>
    <x:row r="1671">
      <x:c r="A1671" s="26"/>
      <x:c r="B1671" s="26"/>
      <x:c r="C1671" s="26"/>
      <x:c r="D1671" s="26"/>
      <x:c r="E1671" s="26"/>
      <x:c r="F1671" s="26"/>
      <x:c r="G1671" s="26"/>
      <x:c r="H1671" s="26"/>
      <x:c r="I1671" s="26"/>
      <x:c r="J1671" s="26"/>
      <x:c r="K1671" s="26"/>
      <x:c r="L1671" s="26"/>
    </x:row>
    <x:row r="1672">
      <x:c r="A1672" s="26"/>
      <x:c r="B1672" s="26"/>
      <x:c r="C1672" s="26"/>
      <x:c r="D1672" s="26"/>
      <x:c r="E1672" s="26"/>
      <x:c r="F1672" s="26"/>
      <x:c r="G1672" s="26"/>
      <x:c r="H1672" s="26"/>
      <x:c r="I1672" s="26"/>
      <x:c r="J1672" s="26"/>
      <x:c r="K1672" s="26"/>
      <x:c r="L1672" s="26"/>
    </x:row>
    <x:row r="1673">
      <x:c r="A1673" s="26"/>
      <x:c r="B1673" s="26"/>
      <x:c r="C1673" s="26"/>
      <x:c r="D1673" s="26"/>
      <x:c r="E1673" s="26"/>
      <x:c r="F1673" s="26"/>
      <x:c r="G1673" s="26"/>
      <x:c r="H1673" s="26"/>
      <x:c r="I1673" s="26"/>
      <x:c r="J1673" s="26"/>
      <x:c r="K1673" s="26"/>
      <x:c r="L1673" s="26"/>
    </x:row>
    <x:row r="1674">
      <x:c r="A1674" s="26"/>
      <x:c r="B1674" s="26"/>
      <x:c r="C1674" s="26"/>
      <x:c r="D1674" s="26"/>
      <x:c r="E1674" s="26"/>
      <x:c r="F1674" s="26"/>
      <x:c r="G1674" s="26"/>
      <x:c r="H1674" s="26"/>
      <x:c r="I1674" s="26"/>
      <x:c r="J1674" s="26"/>
      <x:c r="K1674" s="26"/>
      <x:c r="L1674" s="26"/>
    </x:row>
    <x:row r="1675">
      <x:c r="A1675" s="26"/>
      <x:c r="B1675" s="26"/>
      <x:c r="C1675" s="26"/>
      <x:c r="D1675" s="26"/>
      <x:c r="E1675" s="26"/>
      <x:c r="F1675" s="26"/>
      <x:c r="G1675" s="26"/>
      <x:c r="H1675" s="26"/>
      <x:c r="I1675" s="26"/>
      <x:c r="J1675" s="26"/>
      <x:c r="K1675" s="26"/>
      <x:c r="L1675" s="26"/>
    </x:row>
    <x:row r="1676">
      <x:c r="A1676" s="26"/>
      <x:c r="B1676" s="26"/>
      <x:c r="C1676" s="26"/>
      <x:c r="D1676" s="26"/>
      <x:c r="E1676" s="26"/>
      <x:c r="F1676" s="26"/>
      <x:c r="G1676" s="26"/>
      <x:c r="H1676" s="26"/>
      <x:c r="I1676" s="26"/>
      <x:c r="J1676" s="26"/>
      <x:c r="K1676" s="26"/>
      <x:c r="L1676" s="26"/>
    </x:row>
    <x:row r="1677">
      <x:c r="A1677" s="26"/>
      <x:c r="B1677" s="26"/>
      <x:c r="C1677" s="26"/>
      <x:c r="D1677" s="26"/>
      <x:c r="E1677" s="26"/>
      <x:c r="F1677" s="26"/>
      <x:c r="G1677" s="26"/>
      <x:c r="H1677" s="26"/>
      <x:c r="I1677" s="26"/>
      <x:c r="J1677" s="26"/>
      <x:c r="K1677" s="26"/>
      <x:c r="L1677" s="26"/>
    </x:row>
    <x:row r="1678">
      <x:c r="A1678" s="26"/>
      <x:c r="B1678" s="26"/>
      <x:c r="C1678" s="26"/>
      <x:c r="D1678" s="26"/>
      <x:c r="E1678" s="26"/>
      <x:c r="F1678" s="26"/>
      <x:c r="G1678" s="26"/>
      <x:c r="H1678" s="26"/>
      <x:c r="I1678" s="26"/>
      <x:c r="J1678" s="26"/>
      <x:c r="K1678" s="26"/>
      <x:c r="L1678" s="26"/>
    </x:row>
    <x:row r="1679">
      <x:c r="A1679" s="26"/>
      <x:c r="B1679" s="26"/>
      <x:c r="C1679" s="26"/>
      <x:c r="D1679" s="26"/>
      <x:c r="E1679" s="26"/>
      <x:c r="F1679" s="26"/>
      <x:c r="G1679" s="26"/>
      <x:c r="H1679" s="26"/>
      <x:c r="I1679" s="26"/>
      <x:c r="J1679" s="26"/>
      <x:c r="K1679" s="26"/>
      <x:c r="L1679" s="26"/>
    </x:row>
    <x:row r="1680">
      <x:c r="A1680" s="26"/>
      <x:c r="B1680" s="26"/>
      <x:c r="C1680" s="26"/>
      <x:c r="D1680" s="26"/>
      <x:c r="E1680" s="26"/>
      <x:c r="F1680" s="26"/>
      <x:c r="G1680" s="26"/>
      <x:c r="H1680" s="26"/>
      <x:c r="I1680" s="26"/>
      <x:c r="J1680" s="26"/>
      <x:c r="K1680" s="26"/>
      <x:c r="L1680" s="26"/>
    </x:row>
    <x:row r="1681">
      <x:c r="A1681" s="26"/>
      <x:c r="B1681" s="26"/>
      <x:c r="C1681" s="26"/>
      <x:c r="D1681" s="26"/>
      <x:c r="E1681" s="26"/>
      <x:c r="F1681" s="26"/>
      <x:c r="G1681" s="26"/>
      <x:c r="H1681" s="26"/>
      <x:c r="I1681" s="26"/>
      <x:c r="J1681" s="26"/>
      <x:c r="K1681" s="26"/>
      <x:c r="L1681" s="26"/>
    </x:row>
    <x:row r="1682">
      <x:c r="A1682" s="26"/>
      <x:c r="B1682" s="26"/>
      <x:c r="C1682" s="26"/>
      <x:c r="D1682" s="26"/>
      <x:c r="E1682" s="26"/>
      <x:c r="F1682" s="26"/>
      <x:c r="G1682" s="26"/>
      <x:c r="H1682" s="26"/>
      <x:c r="I1682" s="26"/>
      <x:c r="J1682" s="26"/>
      <x:c r="K1682" s="26"/>
      <x:c r="L1682" s="26"/>
    </x:row>
    <x:row r="1683">
      <x:c r="A1683" s="26"/>
      <x:c r="B1683" s="26"/>
      <x:c r="C1683" s="26"/>
      <x:c r="D1683" s="26"/>
      <x:c r="E1683" s="26"/>
      <x:c r="F1683" s="26"/>
      <x:c r="G1683" s="26"/>
      <x:c r="H1683" s="26"/>
      <x:c r="I1683" s="26"/>
      <x:c r="J1683" s="26"/>
      <x:c r="K1683" s="26"/>
      <x:c r="L1683" s="26"/>
    </x:row>
    <x:row r="1684">
      <x:c r="A1684" s="26"/>
      <x:c r="B1684" s="26"/>
      <x:c r="C1684" s="26"/>
      <x:c r="D1684" s="26"/>
      <x:c r="E1684" s="26"/>
      <x:c r="F1684" s="26"/>
      <x:c r="G1684" s="26"/>
      <x:c r="H1684" s="26"/>
      <x:c r="I1684" s="26"/>
      <x:c r="J1684" s="26"/>
      <x:c r="K1684" s="26"/>
      <x:c r="L1684" s="26"/>
    </x:row>
    <x:row r="1685">
      <x:c r="A1685" s="26"/>
      <x:c r="B1685" s="26"/>
      <x:c r="C1685" s="26"/>
      <x:c r="D1685" s="26"/>
      <x:c r="E1685" s="26"/>
      <x:c r="F1685" s="26"/>
      <x:c r="G1685" s="26"/>
      <x:c r="H1685" s="26"/>
      <x:c r="I1685" s="26"/>
      <x:c r="J1685" s="26"/>
      <x:c r="K1685" s="26"/>
      <x:c r="L1685" s="26"/>
    </x:row>
    <x:row r="1686">
      <x:c r="A1686" s="26"/>
      <x:c r="B1686" s="26"/>
      <x:c r="C1686" s="26"/>
      <x:c r="D1686" s="26"/>
      <x:c r="E1686" s="26"/>
      <x:c r="F1686" s="26"/>
      <x:c r="G1686" s="26"/>
      <x:c r="H1686" s="26"/>
      <x:c r="I1686" s="26"/>
      <x:c r="J1686" s="26"/>
      <x:c r="K1686" s="26"/>
      <x:c r="L1686" s="26"/>
    </x:row>
    <x:row r="1687">
      <x:c r="A1687" s="26"/>
      <x:c r="B1687" s="26"/>
      <x:c r="C1687" s="26"/>
      <x:c r="D1687" s="26"/>
      <x:c r="E1687" s="26"/>
      <x:c r="F1687" s="26"/>
      <x:c r="G1687" s="26"/>
      <x:c r="H1687" s="26"/>
      <x:c r="I1687" s="26"/>
      <x:c r="J1687" s="26"/>
      <x:c r="K1687" s="26"/>
      <x:c r="L1687" s="26"/>
    </x:row>
    <x:row r="1688">
      <x:c r="A1688" s="26"/>
      <x:c r="B1688" s="26"/>
      <x:c r="C1688" s="26"/>
      <x:c r="D1688" s="26"/>
      <x:c r="E1688" s="26"/>
      <x:c r="F1688" s="26"/>
      <x:c r="G1688" s="26"/>
      <x:c r="H1688" s="26"/>
      <x:c r="I1688" s="26"/>
      <x:c r="J1688" s="26"/>
      <x:c r="K1688" s="26"/>
      <x:c r="L1688" s="26"/>
    </x:row>
    <x:row r="1689">
      <x:c r="A1689" s="26"/>
      <x:c r="B1689" s="26"/>
      <x:c r="C1689" s="26"/>
      <x:c r="D1689" s="26"/>
      <x:c r="E1689" s="26"/>
      <x:c r="F1689" s="26"/>
      <x:c r="G1689" s="26"/>
      <x:c r="H1689" s="26"/>
      <x:c r="I1689" s="26"/>
      <x:c r="J1689" s="26"/>
      <x:c r="K1689" s="26"/>
      <x:c r="L1689" s="26"/>
    </x:row>
    <x:row r="1690">
      <x:c r="A1690" s="26"/>
      <x:c r="B1690" s="26"/>
      <x:c r="C1690" s="26"/>
      <x:c r="D1690" s="26"/>
      <x:c r="E1690" s="26"/>
      <x:c r="F1690" s="26"/>
      <x:c r="G1690" s="26"/>
      <x:c r="H1690" s="26"/>
      <x:c r="I1690" s="26"/>
      <x:c r="J1690" s="26"/>
      <x:c r="K1690" s="26"/>
      <x:c r="L1690" s="26"/>
    </x:row>
    <x:row r="1691">
      <x:c r="A1691" s="26"/>
      <x:c r="B1691" s="26"/>
      <x:c r="C1691" s="26"/>
      <x:c r="D1691" s="26"/>
      <x:c r="E1691" s="26"/>
      <x:c r="F1691" s="26"/>
      <x:c r="G1691" s="26"/>
      <x:c r="H1691" s="26"/>
      <x:c r="I1691" s="26"/>
      <x:c r="J1691" s="26"/>
      <x:c r="K1691" s="26"/>
      <x:c r="L1691" s="26"/>
    </x:row>
    <x:row r="1692">
      <x:c r="A1692" s="26"/>
      <x:c r="B1692" s="26"/>
      <x:c r="C1692" s="26"/>
      <x:c r="D1692" s="26"/>
      <x:c r="E1692" s="26"/>
      <x:c r="F1692" s="26"/>
      <x:c r="G1692" s="26"/>
      <x:c r="H1692" s="26"/>
      <x:c r="I1692" s="26"/>
      <x:c r="J1692" s="26"/>
      <x:c r="K1692" s="26"/>
      <x:c r="L1692" s="26"/>
    </x:row>
    <x:row r="1693">
      <x:c r="A1693" s="26"/>
      <x:c r="B1693" s="26"/>
      <x:c r="C1693" s="26"/>
      <x:c r="D1693" s="26"/>
      <x:c r="E1693" s="26"/>
      <x:c r="F1693" s="26"/>
      <x:c r="G1693" s="26"/>
      <x:c r="H1693" s="26"/>
      <x:c r="I1693" s="26"/>
      <x:c r="J1693" s="26"/>
      <x:c r="K1693" s="26"/>
      <x:c r="L1693" s="26"/>
    </x:row>
    <x:row r="1694">
      <x:c r="A1694" s="26"/>
      <x:c r="B1694" s="26"/>
      <x:c r="C1694" s="26"/>
      <x:c r="D1694" s="26"/>
      <x:c r="E1694" s="26"/>
      <x:c r="F1694" s="26"/>
      <x:c r="G1694" s="26"/>
      <x:c r="H1694" s="26"/>
      <x:c r="I1694" s="26"/>
      <x:c r="J1694" s="26"/>
      <x:c r="K1694" s="26"/>
      <x:c r="L1694" s="26"/>
    </x:row>
    <x:row r="1695">
      <x:c r="A1695" s="26"/>
      <x:c r="B1695" s="26"/>
      <x:c r="C1695" s="26"/>
      <x:c r="D1695" s="26"/>
      <x:c r="E1695" s="26"/>
      <x:c r="F1695" s="26"/>
      <x:c r="G1695" s="26"/>
      <x:c r="H1695" s="26"/>
      <x:c r="I1695" s="26"/>
      <x:c r="J1695" s="26"/>
      <x:c r="K1695" s="26"/>
      <x:c r="L1695" s="26"/>
    </x:row>
    <x:row r="1696">
      <x:c r="A1696" s="26"/>
      <x:c r="B1696" s="26"/>
      <x:c r="C1696" s="26"/>
      <x:c r="D1696" s="26"/>
      <x:c r="E1696" s="26"/>
      <x:c r="F1696" s="26"/>
      <x:c r="G1696" s="26"/>
      <x:c r="H1696" s="26"/>
      <x:c r="I1696" s="26"/>
      <x:c r="J1696" s="26"/>
      <x:c r="K1696" s="26"/>
      <x:c r="L1696" s="26"/>
    </x:row>
    <x:row r="1697">
      <x:c r="A1697" s="26"/>
      <x:c r="B1697" s="26"/>
      <x:c r="C1697" s="26"/>
      <x:c r="D1697" s="26"/>
      <x:c r="E1697" s="26"/>
      <x:c r="F1697" s="26"/>
      <x:c r="G1697" s="26"/>
      <x:c r="H1697" s="26"/>
      <x:c r="I1697" s="26"/>
      <x:c r="J1697" s="26"/>
      <x:c r="K1697" s="26"/>
      <x:c r="L1697" s="26"/>
    </x:row>
    <x:row r="1698">
      <x:c r="A1698" s="26"/>
      <x:c r="B1698" s="26"/>
      <x:c r="C1698" s="26"/>
      <x:c r="D1698" s="26"/>
      <x:c r="E1698" s="26"/>
      <x:c r="F1698" s="26"/>
      <x:c r="G1698" s="26"/>
      <x:c r="H1698" s="26"/>
      <x:c r="I1698" s="26"/>
      <x:c r="J1698" s="26"/>
      <x:c r="K1698" s="26"/>
      <x:c r="L1698" s="26"/>
    </x:row>
    <x:row r="1699">
      <x:c r="A1699" s="26"/>
      <x:c r="B1699" s="26"/>
      <x:c r="C1699" s="26"/>
      <x:c r="D1699" s="26"/>
      <x:c r="E1699" s="26"/>
      <x:c r="F1699" s="26"/>
      <x:c r="G1699" s="26"/>
      <x:c r="H1699" s="26"/>
      <x:c r="I1699" s="26"/>
      <x:c r="J1699" s="26"/>
      <x:c r="K1699" s="26"/>
      <x:c r="L1699" s="26"/>
    </x:row>
    <x:row r="1700">
      <x:c r="A1700" s="26"/>
      <x:c r="B1700" s="26"/>
      <x:c r="C1700" s="26"/>
      <x:c r="D1700" s="26"/>
      <x:c r="E1700" s="26"/>
      <x:c r="F1700" s="26"/>
      <x:c r="G1700" s="26"/>
      <x:c r="H1700" s="26"/>
      <x:c r="I1700" s="26"/>
      <x:c r="J1700" s="26"/>
      <x:c r="K1700" s="26"/>
      <x:c r="L1700" s="26"/>
    </x:row>
    <x:row r="1701">
      <x:c r="A1701" s="26"/>
      <x:c r="B1701" s="26"/>
      <x:c r="C1701" s="26"/>
      <x:c r="D1701" s="26"/>
      <x:c r="E1701" s="26"/>
      <x:c r="F1701" s="26"/>
      <x:c r="G1701" s="26"/>
      <x:c r="H1701" s="26"/>
      <x:c r="I1701" s="26"/>
      <x:c r="J1701" s="26"/>
      <x:c r="K1701" s="26"/>
      <x:c r="L1701" s="26"/>
    </x:row>
    <x:row r="1702">
      <x:c r="A1702" s="26"/>
      <x:c r="B1702" s="26"/>
      <x:c r="C1702" s="26"/>
      <x:c r="D1702" s="26"/>
      <x:c r="E1702" s="26"/>
      <x:c r="F1702" s="26"/>
      <x:c r="G1702" s="26"/>
      <x:c r="H1702" s="26"/>
      <x:c r="I1702" s="26"/>
      <x:c r="J1702" s="26"/>
      <x:c r="K1702" s="26"/>
      <x:c r="L1702" s="26"/>
    </x:row>
    <x:row r="1703">
      <x:c r="A1703" s="26"/>
      <x:c r="B1703" s="26"/>
      <x:c r="C1703" s="26"/>
      <x:c r="D1703" s="26"/>
      <x:c r="E1703" s="26"/>
      <x:c r="F1703" s="26"/>
      <x:c r="G1703" s="26"/>
      <x:c r="H1703" s="26"/>
      <x:c r="I1703" s="26"/>
      <x:c r="J1703" s="26"/>
      <x:c r="K1703" s="26"/>
      <x:c r="L1703" s="26"/>
    </x:row>
    <x:row r="1704">
      <x:c r="A1704" s="26"/>
      <x:c r="B1704" s="26"/>
      <x:c r="C1704" s="26"/>
      <x:c r="D1704" s="26"/>
      <x:c r="E1704" s="26"/>
      <x:c r="F1704" s="26"/>
      <x:c r="G1704" s="26"/>
      <x:c r="H1704" s="26"/>
      <x:c r="I1704" s="26"/>
      <x:c r="J1704" s="26"/>
      <x:c r="K1704" s="26"/>
      <x:c r="L1704" s="26"/>
    </x:row>
    <x:row r="1705">
      <x:c r="A1705" s="26"/>
      <x:c r="B1705" s="26"/>
      <x:c r="C1705" s="26"/>
      <x:c r="D1705" s="26"/>
      <x:c r="E1705" s="26"/>
      <x:c r="F1705" s="26"/>
      <x:c r="G1705" s="26"/>
      <x:c r="H1705" s="26"/>
      <x:c r="I1705" s="26"/>
      <x:c r="J1705" s="26"/>
      <x:c r="K1705" s="26"/>
      <x:c r="L1705" s="26"/>
    </x:row>
    <x:row r="1706">
      <x:c r="A1706" s="26"/>
      <x:c r="B1706" s="26"/>
      <x:c r="C1706" s="26"/>
      <x:c r="D1706" s="26"/>
      <x:c r="E1706" s="26"/>
      <x:c r="F1706" s="26"/>
      <x:c r="G1706" s="26"/>
      <x:c r="H1706" s="26"/>
      <x:c r="I1706" s="26"/>
      <x:c r="J1706" s="26"/>
      <x:c r="K1706" s="26"/>
      <x:c r="L1706" s="26"/>
    </x:row>
    <x:row r="1707">
      <x:c r="A1707" s="26"/>
      <x:c r="B1707" s="26"/>
      <x:c r="C1707" s="26"/>
      <x:c r="D1707" s="26"/>
      <x:c r="E1707" s="26"/>
      <x:c r="F1707" s="26"/>
      <x:c r="G1707" s="26"/>
      <x:c r="H1707" s="26"/>
      <x:c r="I1707" s="26"/>
      <x:c r="J1707" s="26"/>
      <x:c r="K1707" s="26"/>
      <x:c r="L1707" s="26"/>
    </x:row>
    <x:row r="1708">
      <x:c r="A1708" s="26"/>
      <x:c r="B1708" s="26"/>
      <x:c r="C1708" s="26"/>
      <x:c r="D1708" s="26"/>
      <x:c r="E1708" s="26"/>
      <x:c r="F1708" s="26"/>
      <x:c r="G1708" s="26"/>
      <x:c r="H1708" s="26"/>
      <x:c r="I1708" s="26"/>
      <x:c r="J1708" s="26"/>
      <x:c r="K1708" s="26"/>
      <x:c r="L1708" s="26"/>
    </x:row>
    <x:row r="1709">
      <x:c r="A1709" s="26"/>
      <x:c r="B1709" s="26"/>
      <x:c r="C1709" s="26"/>
      <x:c r="D1709" s="26"/>
      <x:c r="E1709" s="26"/>
      <x:c r="F1709" s="26"/>
      <x:c r="G1709" s="26"/>
      <x:c r="H1709" s="26"/>
      <x:c r="I1709" s="26"/>
      <x:c r="J1709" s="26"/>
      <x:c r="K1709" s="26"/>
      <x:c r="L1709" s="26"/>
    </x:row>
    <x:row r="1710">
      <x:c r="A1710" s="26"/>
      <x:c r="B1710" s="26"/>
      <x:c r="C1710" s="26"/>
      <x:c r="D1710" s="26"/>
      <x:c r="E1710" s="26"/>
      <x:c r="F1710" s="26"/>
      <x:c r="G1710" s="26"/>
      <x:c r="H1710" s="26"/>
      <x:c r="I1710" s="26"/>
      <x:c r="J1710" s="26"/>
      <x:c r="K1710" s="26"/>
      <x:c r="L1710" s="26"/>
    </x:row>
    <x:row r="1711">
      <x:c r="A1711" s="26"/>
      <x:c r="B1711" s="26"/>
      <x:c r="C1711" s="26"/>
      <x:c r="D1711" s="26"/>
      <x:c r="E1711" s="26"/>
      <x:c r="F1711" s="26"/>
      <x:c r="G1711" s="26"/>
      <x:c r="H1711" s="26"/>
      <x:c r="I1711" s="26"/>
      <x:c r="J1711" s="26"/>
      <x:c r="K1711" s="26"/>
      <x:c r="L1711" s="26"/>
    </x:row>
    <x:row r="1712">
      <x:c r="A1712" s="26"/>
      <x:c r="B1712" s="26"/>
      <x:c r="C1712" s="26"/>
      <x:c r="D1712" s="26"/>
      <x:c r="E1712" s="26"/>
      <x:c r="F1712" s="26"/>
      <x:c r="G1712" s="26"/>
      <x:c r="H1712" s="26"/>
      <x:c r="I1712" s="26"/>
      <x:c r="J1712" s="26"/>
      <x:c r="K1712" s="26"/>
      <x:c r="L1712" s="26"/>
    </x:row>
    <x:row r="1713">
      <x:c r="A1713" s="26"/>
      <x:c r="B1713" s="26"/>
      <x:c r="C1713" s="26"/>
      <x:c r="D1713" s="26"/>
      <x:c r="E1713" s="26"/>
      <x:c r="F1713" s="26"/>
      <x:c r="G1713" s="26"/>
      <x:c r="H1713" s="26"/>
      <x:c r="I1713" s="26"/>
      <x:c r="J1713" s="26"/>
      <x:c r="K1713" s="26"/>
      <x:c r="L1713" s="26"/>
    </x:row>
    <x:row r="1714">
      <x:c r="A1714" s="26"/>
      <x:c r="B1714" s="26"/>
      <x:c r="C1714" s="26"/>
      <x:c r="D1714" s="26"/>
      <x:c r="E1714" s="26"/>
      <x:c r="F1714" s="26"/>
      <x:c r="G1714" s="26"/>
      <x:c r="H1714" s="26"/>
      <x:c r="I1714" s="26"/>
      <x:c r="J1714" s="26"/>
      <x:c r="K1714" s="26"/>
      <x:c r="L1714" s="26"/>
    </x:row>
    <x:row r="1715">
      <x:c r="A1715" s="26"/>
      <x:c r="B1715" s="26"/>
      <x:c r="C1715" s="26"/>
      <x:c r="D1715" s="26"/>
      <x:c r="E1715" s="26"/>
      <x:c r="F1715" s="26"/>
      <x:c r="G1715" s="26"/>
      <x:c r="H1715" s="26"/>
      <x:c r="I1715" s="26"/>
      <x:c r="J1715" s="26"/>
      <x:c r="K1715" s="26"/>
      <x:c r="L1715" s="26"/>
    </x:row>
    <x:row r="1716">
      <x:c r="A1716" s="26"/>
      <x:c r="B1716" s="26"/>
      <x:c r="C1716" s="26"/>
      <x:c r="D1716" s="26"/>
      <x:c r="E1716" s="26"/>
      <x:c r="F1716" s="26"/>
      <x:c r="G1716" s="26"/>
      <x:c r="H1716" s="26"/>
      <x:c r="I1716" s="26"/>
      <x:c r="J1716" s="26"/>
      <x:c r="K1716" s="26"/>
      <x:c r="L1716" s="26"/>
    </x:row>
    <x:row r="1717">
      <x:c r="A1717" s="26"/>
      <x:c r="B1717" s="26"/>
      <x:c r="C1717" s="26"/>
      <x:c r="D1717" s="26"/>
      <x:c r="E1717" s="26"/>
      <x:c r="F1717" s="26"/>
      <x:c r="G1717" s="26"/>
      <x:c r="H1717" s="26"/>
      <x:c r="I1717" s="26"/>
      <x:c r="J1717" s="26"/>
      <x:c r="K1717" s="26"/>
      <x:c r="L1717" s="26"/>
    </x:row>
    <x:row r="1718">
      <x:c r="A1718" s="26"/>
      <x:c r="B1718" s="26"/>
      <x:c r="C1718" s="26"/>
      <x:c r="D1718" s="26"/>
      <x:c r="E1718" s="26"/>
      <x:c r="F1718" s="26"/>
      <x:c r="G1718" s="26"/>
      <x:c r="H1718" s="26"/>
      <x:c r="I1718" s="26"/>
      <x:c r="J1718" s="26"/>
      <x:c r="K1718" s="26"/>
      <x:c r="L1718" s="26"/>
    </x:row>
    <x:row r="1719">
      <x:c r="A1719" s="26"/>
      <x:c r="B1719" s="26"/>
      <x:c r="C1719" s="26"/>
      <x:c r="D1719" s="26"/>
      <x:c r="E1719" s="26"/>
      <x:c r="F1719" s="26"/>
      <x:c r="G1719" s="26"/>
      <x:c r="H1719" s="26"/>
      <x:c r="I1719" s="26"/>
      <x:c r="J1719" s="26"/>
      <x:c r="K1719" s="26"/>
      <x:c r="L1719" s="26"/>
    </x:row>
    <x:row r="1720">
      <x:c r="A1720" s="26"/>
      <x:c r="B1720" s="26"/>
      <x:c r="C1720" s="26"/>
      <x:c r="D1720" s="26"/>
      <x:c r="E1720" s="26"/>
      <x:c r="F1720" s="26"/>
      <x:c r="G1720" s="26"/>
      <x:c r="H1720" s="26"/>
      <x:c r="I1720" s="26"/>
      <x:c r="J1720" s="26"/>
      <x:c r="K1720" s="26"/>
      <x:c r="L1720" s="26"/>
    </x:row>
    <x:row r="1721">
      <x:c r="A1721" s="26"/>
      <x:c r="B1721" s="26"/>
      <x:c r="C1721" s="26"/>
      <x:c r="D1721" s="26"/>
      <x:c r="E1721" s="26"/>
      <x:c r="F1721" s="26"/>
      <x:c r="G1721" s="26"/>
      <x:c r="H1721" s="26"/>
      <x:c r="I1721" s="26"/>
      <x:c r="J1721" s="26"/>
      <x:c r="K1721" s="26"/>
      <x:c r="L1721" s="26"/>
    </x:row>
    <x:row r="1722">
      <x:c r="A1722" s="26"/>
      <x:c r="B1722" s="26"/>
      <x:c r="C1722" s="26"/>
      <x:c r="D1722" s="26"/>
      <x:c r="E1722" s="26"/>
      <x:c r="F1722" s="26"/>
      <x:c r="G1722" s="26"/>
      <x:c r="H1722" s="26"/>
      <x:c r="I1722" s="26"/>
      <x:c r="J1722" s="26"/>
      <x:c r="K1722" s="26"/>
      <x:c r="L1722" s="26"/>
    </x:row>
    <x:row r="1723">
      <x:c r="A1723" s="26"/>
      <x:c r="B1723" s="26"/>
      <x:c r="C1723" s="26"/>
      <x:c r="D1723" s="26"/>
      <x:c r="E1723" s="26"/>
      <x:c r="F1723" s="26"/>
      <x:c r="G1723" s="26"/>
      <x:c r="H1723" s="26"/>
      <x:c r="I1723" s="26"/>
      <x:c r="J1723" s="26"/>
      <x:c r="K1723" s="26"/>
      <x:c r="L1723" s="26"/>
    </x:row>
    <x:row r="1724">
      <x:c r="A1724" s="26"/>
      <x:c r="B1724" s="26"/>
      <x:c r="C1724" s="26"/>
      <x:c r="D1724" s="26"/>
      <x:c r="E1724" s="26"/>
      <x:c r="F1724" s="26"/>
      <x:c r="G1724" s="26"/>
      <x:c r="H1724" s="26"/>
      <x:c r="I1724" s="26"/>
      <x:c r="J1724" s="26"/>
      <x:c r="K1724" s="26"/>
      <x:c r="L1724" s="26"/>
    </x:row>
    <x:row r="1725">
      <x:c r="A1725" s="26"/>
      <x:c r="B1725" s="26"/>
      <x:c r="C1725" s="26"/>
      <x:c r="D1725" s="26"/>
      <x:c r="E1725" s="26"/>
      <x:c r="F1725" s="26"/>
      <x:c r="G1725" s="26"/>
      <x:c r="H1725" s="26"/>
      <x:c r="I1725" s="26"/>
      <x:c r="J1725" s="26"/>
      <x:c r="K1725" s="26"/>
      <x:c r="L1725" s="26"/>
    </x:row>
    <x:row r="1726">
      <x:c r="A1726" s="26"/>
      <x:c r="B1726" s="26"/>
      <x:c r="C1726" s="26"/>
      <x:c r="D1726" s="26"/>
      <x:c r="E1726" s="26"/>
      <x:c r="F1726" s="26"/>
      <x:c r="G1726" s="26"/>
      <x:c r="H1726" s="26"/>
      <x:c r="I1726" s="26"/>
      <x:c r="J1726" s="26"/>
      <x:c r="K1726" s="26"/>
      <x:c r="L1726" s="26"/>
    </x:row>
    <x:row r="1727">
      <x:c r="A1727" s="26"/>
      <x:c r="B1727" s="26"/>
      <x:c r="C1727" s="26"/>
      <x:c r="D1727" s="26"/>
      <x:c r="E1727" s="26"/>
      <x:c r="F1727" s="26"/>
      <x:c r="G1727" s="26"/>
      <x:c r="H1727" s="26"/>
      <x:c r="I1727" s="26"/>
      <x:c r="J1727" s="26"/>
      <x:c r="K1727" s="26"/>
      <x:c r="L1727" s="26"/>
    </x:row>
    <x:row r="1728">
      <x:c r="A1728" s="26"/>
      <x:c r="B1728" s="26"/>
      <x:c r="C1728" s="26"/>
      <x:c r="D1728" s="26"/>
      <x:c r="E1728" s="26"/>
      <x:c r="F1728" s="26"/>
      <x:c r="G1728" s="26"/>
      <x:c r="H1728" s="26"/>
      <x:c r="I1728" s="26"/>
      <x:c r="J1728" s="26"/>
      <x:c r="K1728" s="26"/>
      <x:c r="L1728" s="26"/>
    </x:row>
    <x:row r="1729">
      <x:c r="A1729" s="26"/>
      <x:c r="B1729" s="26"/>
      <x:c r="C1729" s="26"/>
      <x:c r="D1729" s="26"/>
      <x:c r="E1729" s="26"/>
      <x:c r="F1729" s="26"/>
      <x:c r="G1729" s="26"/>
      <x:c r="H1729" s="26"/>
      <x:c r="I1729" s="26"/>
      <x:c r="J1729" s="26"/>
      <x:c r="K1729" s="26"/>
      <x:c r="L1729" s="26"/>
    </x:row>
    <x:row r="1730">
      <x:c r="A1730" s="26"/>
      <x:c r="B1730" s="26"/>
      <x:c r="C1730" s="26"/>
      <x:c r="D1730" s="26"/>
      <x:c r="E1730" s="26"/>
      <x:c r="F1730" s="26"/>
      <x:c r="G1730" s="26"/>
      <x:c r="H1730" s="26"/>
      <x:c r="I1730" s="26"/>
      <x:c r="J1730" s="26"/>
      <x:c r="K1730" s="26"/>
      <x:c r="L1730" s="26"/>
    </x:row>
    <x:row r="1731">
      <x:c r="A1731" s="26"/>
      <x:c r="B1731" s="26"/>
      <x:c r="C1731" s="26"/>
      <x:c r="D1731" s="26"/>
      <x:c r="E1731" s="26"/>
      <x:c r="F1731" s="26"/>
      <x:c r="G1731" s="26"/>
      <x:c r="H1731" s="26"/>
      <x:c r="I1731" s="26"/>
      <x:c r="J1731" s="26"/>
      <x:c r="K1731" s="26"/>
      <x:c r="L1731" s="26"/>
    </x:row>
    <x:row r="1732">
      <x:c r="A1732" s="26"/>
      <x:c r="B1732" s="26"/>
      <x:c r="C1732" s="26"/>
      <x:c r="D1732" s="26"/>
      <x:c r="E1732" s="26"/>
      <x:c r="F1732" s="26"/>
      <x:c r="G1732" s="26"/>
      <x:c r="H1732" s="26"/>
      <x:c r="I1732" s="26"/>
      <x:c r="J1732" s="26"/>
      <x:c r="K1732" s="26"/>
      <x:c r="L1732" s="26"/>
    </x:row>
    <x:row r="1733">
      <x:c r="A1733" s="26"/>
      <x:c r="B1733" s="26"/>
      <x:c r="C1733" s="26"/>
      <x:c r="D1733" s="26"/>
      <x:c r="E1733" s="26"/>
      <x:c r="F1733" s="26"/>
      <x:c r="G1733" s="26"/>
      <x:c r="H1733" s="26"/>
      <x:c r="I1733" s="26"/>
      <x:c r="J1733" s="26"/>
      <x:c r="K1733" s="26"/>
      <x:c r="L1733" s="26"/>
    </x:row>
    <x:row r="1734">
      <x:c r="A1734" s="26"/>
      <x:c r="B1734" s="26"/>
      <x:c r="C1734" s="26"/>
      <x:c r="D1734" s="26"/>
      <x:c r="E1734" s="26"/>
      <x:c r="F1734" s="26"/>
      <x:c r="G1734" s="26"/>
      <x:c r="H1734" s="26"/>
      <x:c r="I1734" s="26"/>
      <x:c r="J1734" s="26"/>
      <x:c r="K1734" s="26"/>
      <x:c r="L1734" s="26"/>
    </x:row>
    <x:row r="1735">
      <x:c r="A1735" s="26"/>
      <x:c r="B1735" s="26"/>
      <x:c r="C1735" s="26"/>
      <x:c r="D1735" s="26"/>
      <x:c r="E1735" s="26"/>
      <x:c r="F1735" s="26"/>
      <x:c r="G1735" s="26"/>
      <x:c r="H1735" s="26"/>
      <x:c r="I1735" s="26"/>
      <x:c r="J1735" s="26"/>
      <x:c r="K1735" s="26"/>
      <x:c r="L1735" s="26"/>
    </x:row>
    <x:row r="1736">
      <x:c r="A1736" s="26"/>
      <x:c r="B1736" s="26"/>
      <x:c r="C1736" s="26"/>
      <x:c r="D1736" s="26"/>
      <x:c r="E1736" s="26"/>
      <x:c r="F1736" s="26"/>
      <x:c r="G1736" s="26"/>
      <x:c r="H1736" s="26"/>
      <x:c r="I1736" s="26"/>
      <x:c r="J1736" s="26"/>
      <x:c r="K1736" s="26"/>
      <x:c r="L1736" s="26"/>
    </x:row>
    <x:row r="1737">
      <x:c r="A1737" s="26"/>
      <x:c r="B1737" s="26"/>
      <x:c r="C1737" s="26"/>
      <x:c r="D1737" s="26"/>
      <x:c r="E1737" s="26"/>
      <x:c r="F1737" s="26"/>
      <x:c r="G1737" s="26"/>
      <x:c r="H1737" s="26"/>
      <x:c r="I1737" s="26"/>
      <x:c r="J1737" s="26"/>
      <x:c r="K1737" s="26"/>
      <x:c r="L1737" s="26"/>
    </x:row>
    <x:row r="1738">
      <x:c r="A1738" s="26"/>
      <x:c r="B1738" s="26"/>
      <x:c r="C1738" s="26"/>
      <x:c r="D1738" s="26"/>
      <x:c r="E1738" s="26"/>
      <x:c r="F1738" s="26"/>
      <x:c r="G1738" s="26"/>
      <x:c r="H1738" s="26"/>
      <x:c r="I1738" s="26"/>
      <x:c r="J1738" s="26"/>
      <x:c r="K1738" s="26"/>
      <x:c r="L1738" s="26"/>
    </x:row>
    <x:row r="1739">
      <x:c r="A1739" s="26"/>
      <x:c r="B1739" s="26"/>
      <x:c r="C1739" s="26"/>
      <x:c r="D1739" s="26"/>
      <x:c r="E1739" s="26"/>
      <x:c r="F1739" s="26"/>
      <x:c r="G1739" s="26"/>
      <x:c r="H1739" s="26"/>
      <x:c r="I1739" s="26"/>
      <x:c r="J1739" s="26"/>
      <x:c r="K1739" s="26"/>
      <x:c r="L1739" s="26"/>
    </x:row>
    <x:row r="1740">
      <x:c r="A1740" s="26"/>
      <x:c r="B1740" s="26"/>
      <x:c r="C1740" s="26"/>
      <x:c r="D1740" s="26"/>
      <x:c r="E1740" s="26"/>
      <x:c r="F1740" s="26"/>
      <x:c r="G1740" s="26"/>
      <x:c r="H1740" s="26"/>
      <x:c r="I1740" s="26"/>
      <x:c r="J1740" s="26"/>
      <x:c r="K1740" s="26"/>
      <x:c r="L1740" s="26"/>
    </x:row>
    <x:row r="1741">
      <x:c r="A1741" s="26"/>
      <x:c r="B1741" s="26"/>
      <x:c r="C1741" s="26"/>
      <x:c r="D1741" s="26"/>
      <x:c r="E1741" s="26"/>
      <x:c r="F1741" s="26"/>
      <x:c r="G1741" s="26"/>
      <x:c r="H1741" s="26"/>
      <x:c r="I1741" s="26"/>
      <x:c r="J1741" s="26"/>
      <x:c r="K1741" s="26"/>
      <x:c r="L1741" s="26"/>
    </x:row>
    <x:row r="1742">
      <x:c r="A1742" s="26"/>
      <x:c r="B1742" s="26"/>
      <x:c r="C1742" s="26"/>
      <x:c r="D1742" s="26"/>
      <x:c r="E1742" s="26"/>
      <x:c r="F1742" s="26"/>
      <x:c r="G1742" s="26"/>
      <x:c r="H1742" s="26"/>
      <x:c r="I1742" s="26"/>
      <x:c r="J1742" s="26"/>
      <x:c r="K1742" s="26"/>
      <x:c r="L1742" s="26"/>
    </x:row>
    <x:row r="1743">
      <x:c r="A1743" s="26"/>
      <x:c r="B1743" s="26"/>
      <x:c r="C1743" s="26"/>
      <x:c r="D1743" s="26"/>
      <x:c r="E1743" s="26"/>
      <x:c r="F1743" s="26"/>
      <x:c r="G1743" s="26"/>
      <x:c r="H1743" s="26"/>
      <x:c r="I1743" s="26"/>
      <x:c r="J1743" s="26"/>
      <x:c r="K1743" s="26"/>
      <x:c r="L1743" s="26"/>
    </x:row>
    <x:row r="1744">
      <x:c r="A1744" s="26"/>
      <x:c r="B1744" s="26"/>
      <x:c r="C1744" s="26"/>
      <x:c r="D1744" s="26"/>
      <x:c r="E1744" s="26"/>
      <x:c r="F1744" s="26"/>
      <x:c r="G1744" s="26"/>
      <x:c r="H1744" s="26"/>
      <x:c r="I1744" s="26"/>
      <x:c r="J1744" s="26"/>
      <x:c r="K1744" s="26"/>
      <x:c r="L1744" s="26"/>
    </x:row>
    <x:row r="1745">
      <x:c r="A1745" s="26"/>
      <x:c r="B1745" s="26"/>
      <x:c r="C1745" s="26"/>
      <x:c r="D1745" s="26"/>
      <x:c r="E1745" s="26"/>
      <x:c r="F1745" s="26"/>
      <x:c r="G1745" s="26"/>
      <x:c r="H1745" s="26"/>
      <x:c r="I1745" s="26"/>
      <x:c r="J1745" s="26"/>
      <x:c r="K1745" s="26"/>
      <x:c r="L1745" s="26"/>
    </x:row>
    <x:row r="1746">
      <x:c r="A1746" s="26"/>
      <x:c r="B1746" s="26"/>
      <x:c r="C1746" s="26"/>
      <x:c r="D1746" s="26"/>
      <x:c r="E1746" s="26"/>
      <x:c r="F1746" s="26"/>
      <x:c r="G1746" s="26"/>
      <x:c r="H1746" s="26"/>
      <x:c r="I1746" s="26"/>
      <x:c r="J1746" s="26"/>
      <x:c r="K1746" s="26"/>
      <x:c r="L1746" s="26"/>
    </x:row>
    <x:row r="1747">
      <x:c r="A1747" s="26"/>
      <x:c r="B1747" s="26"/>
      <x:c r="C1747" s="26"/>
      <x:c r="D1747" s="26"/>
      <x:c r="E1747" s="26"/>
      <x:c r="F1747" s="26"/>
      <x:c r="G1747" s="26"/>
      <x:c r="H1747" s="26"/>
      <x:c r="I1747" s="26"/>
      <x:c r="J1747" s="26"/>
      <x:c r="K1747" s="26"/>
      <x:c r="L1747" s="26"/>
    </x:row>
    <x:row r="1748">
      <x:c r="A1748" s="26"/>
      <x:c r="B1748" s="26"/>
      <x:c r="C1748" s="26"/>
      <x:c r="D1748" s="26"/>
      <x:c r="E1748" s="26"/>
      <x:c r="F1748" s="26"/>
      <x:c r="G1748" s="26"/>
      <x:c r="H1748" s="26"/>
      <x:c r="I1748" s="26"/>
      <x:c r="J1748" s="26"/>
      <x:c r="K1748" s="26"/>
      <x:c r="L1748" s="26"/>
    </x:row>
    <x:row r="1749">
      <x:c r="A1749" s="26"/>
      <x:c r="B1749" s="26"/>
      <x:c r="C1749" s="26"/>
      <x:c r="D1749" s="26"/>
      <x:c r="E1749" s="26"/>
      <x:c r="F1749" s="26"/>
      <x:c r="G1749" s="26"/>
      <x:c r="H1749" s="26"/>
      <x:c r="I1749" s="26"/>
      <x:c r="J1749" s="26"/>
      <x:c r="K1749" s="26"/>
      <x:c r="L1749" s="26"/>
    </x:row>
    <x:row r="1750">
      <x:c r="A1750" s="26"/>
      <x:c r="B1750" s="26"/>
      <x:c r="C1750" s="26"/>
      <x:c r="D1750" s="26"/>
      <x:c r="E1750" s="26"/>
      <x:c r="F1750" s="26"/>
      <x:c r="G1750" s="26"/>
      <x:c r="H1750" s="26"/>
      <x:c r="I1750" s="26"/>
      <x:c r="J1750" s="26"/>
      <x:c r="K1750" s="26"/>
      <x:c r="L1750" s="26"/>
    </x:row>
    <x:row r="1751">
      <x:c r="A1751" s="26"/>
      <x:c r="B1751" s="26"/>
      <x:c r="C1751" s="26"/>
      <x:c r="D1751" s="26"/>
      <x:c r="E1751" s="26"/>
      <x:c r="F1751" s="26"/>
      <x:c r="G1751" s="26"/>
      <x:c r="H1751" s="26"/>
      <x:c r="I1751" s="26"/>
      <x:c r="J1751" s="26"/>
      <x:c r="K1751" s="26"/>
      <x:c r="L1751" s="26"/>
    </x:row>
    <x:row r="1752">
      <x:c r="A1752" s="26"/>
      <x:c r="B1752" s="26"/>
      <x:c r="C1752" s="26"/>
      <x:c r="D1752" s="26"/>
      <x:c r="E1752" s="26"/>
      <x:c r="F1752" s="26"/>
      <x:c r="G1752" s="26"/>
      <x:c r="H1752" s="26"/>
      <x:c r="I1752" s="26"/>
      <x:c r="J1752" s="26"/>
      <x:c r="K1752" s="26"/>
      <x:c r="L1752" s="26"/>
    </x:row>
    <x:row r="1753">
      <x:c r="A1753" s="26"/>
      <x:c r="B1753" s="26"/>
      <x:c r="C1753" s="26"/>
      <x:c r="D1753" s="26"/>
      <x:c r="E1753" s="26"/>
      <x:c r="F1753" s="26"/>
      <x:c r="G1753" s="26"/>
      <x:c r="H1753" s="26"/>
      <x:c r="I1753" s="26"/>
      <x:c r="J1753" s="26"/>
      <x:c r="K1753" s="26"/>
      <x:c r="L1753" s="26"/>
    </x:row>
    <x:row r="1754">
      <x:c r="A1754" s="26"/>
      <x:c r="B1754" s="26"/>
      <x:c r="C1754" s="26"/>
      <x:c r="D1754" s="26"/>
      <x:c r="E1754" s="26"/>
      <x:c r="F1754" s="26"/>
      <x:c r="G1754" s="26"/>
      <x:c r="H1754" s="26"/>
      <x:c r="I1754" s="26"/>
      <x:c r="J1754" s="26"/>
      <x:c r="K1754" s="26"/>
      <x:c r="L1754" s="26"/>
    </x:row>
    <x:row r="1755">
      <x:c r="A1755" s="26"/>
      <x:c r="B1755" s="26"/>
      <x:c r="C1755" s="26"/>
      <x:c r="D1755" s="26"/>
      <x:c r="E1755" s="26"/>
      <x:c r="F1755" s="26"/>
      <x:c r="G1755" s="26"/>
      <x:c r="H1755" s="26"/>
      <x:c r="I1755" s="26"/>
      <x:c r="J1755" s="26"/>
      <x:c r="K1755" s="26"/>
      <x:c r="L1755" s="2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18" hidden="0" customWidth="1"/>
    <x:col min="5" max="5" width="20" hidden="0" customWidth="1"/>
    <x:col min="6" max="6" width="22" hidden="0" customWidth="1"/>
    <x:col min="7" max="7" width="20" hidden="0" customWidth="1"/>
    <x:col min="8" max="8" width="35" hidden="0" customWidth="1"/>
  </x:cols>
  <x:sheetData>
    <x:row r="1">
      <x:c r="A1" s="23" t="str">
        <x:v>Kỳ báo cáo</x:v>
      </x:c>
      <x:c r="B1" s="23" t="str">
        <x:v>Tổng HĐ giám sát</x:v>
      </x:c>
      <x:c r="C1" s="23" t="str">
        <x:v>CS tư vấn chưa đủ/chính xác</x:v>
      </x:c>
      <x:c r="D1" s="23" t="str">
        <x:v>Cuộc gọi bổ sung</x:v>
      </x:c>
      <x:c r="E1" s="23" t="str">
        <x:v>HĐ thanh lý giám sát</x:v>
      </x:c>
      <x:c r="F1" s="23" t="str">
        <x:v>Không đăng ký thanh lý</x:v>
      </x:c>
      <x:c r="G1" s="23" t="str">
        <x:v>Báo sai ngày/số tiền</x:v>
      </x:c>
      <x:c r="H1" s="23" t="str">
        <x:v>Ghi chú</x:v>
      </x:c>
    </x:row>
    <x:row r="2">
      <x:c r="A2" s="26"/>
      <x:c r="B2" s="26"/>
      <x:c r="C2" s="26"/>
      <x:c r="D2" s="26"/>
      <x:c r="E2" s="26"/>
      <x:c r="F2" s="26"/>
      <x:c r="G2" s="26"/>
      <x:c r="H2" s="26"/>
    </x:row>
  </x:sheetData>
  <x:pageMargins left="0.7" right="0.7" top="0.75" bottom="0.75" header="0.3" footer="0.3"/>
  <x:tableParts count="1">
    <x:tablePart xmlns:r="http://schemas.openxmlformats.org/officeDocument/2006/relationships" r:id="R9bbb2f4bc475472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3" hidden="0" customWidth="1"/>
    <x:col min="5" max="5" width="14" hidden="0" customWidth="1"/>
    <x:col min="6" max="6" width="24" hidden="0" customWidth="1"/>
    <x:col min="7" max="7" width="30" hidden="0" customWidth="1"/>
  </x:cols>
  <x:sheetData>
    <x:row r="1">
      <x:c r="A1" s="23" t="str">
        <x:v>Kỳ báo cáo</x:v>
      </x:c>
      <x:c r="B1" s="23" t="str">
        <x:v>Kênh</x:v>
      </x:c>
      <x:c r="C1" s="23" t="str">
        <x:v>Tổng case QA</x:v>
      </x:c>
      <x:c r="D1" s="23" t="str">
        <x:v>Case lỗi</x:v>
      </x:c>
      <x:c r="E1" s="23" t="str">
        <x:v>Điểm QA TB</x:v>
      </x:c>
      <x:c r="F1" s="23" t="str">
        <x:v>Nhóm lỗi chính</x:v>
      </x:c>
      <x:c r="G1" s="23" t="str">
        <x:v>Ghi chú</x:v>
      </x:c>
    </x:row>
    <x:row r="2">
      <x:c r="A2" s="26"/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6"/>
      <x:c r="B4" s="26"/>
      <x:c r="C4" s="26"/>
      <x:c r="D4" s="26"/>
      <x:c r="E4" s="26"/>
      <x:c r="F4" s="26"/>
      <x:c r="G4" s="26"/>
    </x:row>
  </x:sheetData>
  <x:pageMargins left="0.7" right="0.7" top="0.75" bottom="0.75" header="0.3" footer="0.3"/>
  <x:tableParts count="1">
    <x:tablePart xmlns:r="http://schemas.openxmlformats.org/officeDocument/2006/relationships" r:id="Rb03fdaae056146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1" t="str">
        <x:v>A. LOAN — BÁO CÁO CHẤT LƯỢNG</x:v>
      </x:c>
      <x:c r="B1" s="11"/>
      <x:c r="C1" s="11"/>
      <x:c r="D1" s="11"/>
      <x:c r="E1" s="11"/>
      <x:c r="F1" s="11"/>
      <x:c r="G1" s="11"/>
      <x:c r="H1" s="11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0" t="str">
        <x:v>Kênh</x:v>
      </x:c>
      <x:c r="B3" s="20" t="str">
        <x:v>Tổng QA</x:v>
      </x:c>
      <x:c r="C3" s="20" t="str">
        <x:v>Đạt 100</x:v>
      </x:c>
      <x:c r="D3" s="20" t="str">
        <x:v>Có lỗi</x:v>
      </x:c>
      <x:c r="E3" s="20" t="str">
        <x:v>Tỷ lệ lỗi</x:v>
      </x:c>
      <x:c r="F3" s="20" t="str">
        <x:v>Điểm QA TB</x:v>
      </x:c>
      <x:c r="G3" s="20" t="str">
        <x:v>Điểm thấp nhất</x:v>
      </x:c>
      <x:c r="H3" s="20" t="str">
        <x:v>Kết luận</x:v>
      </x:c>
    </x:row>
    <x:row r="4">
      <x:c r="A4" s="4" t="str">
        <x:v>INBOUND</x:v>
      </x:c>
      <x:c r="B4" s="4" t="n">
        <x:f>COUNTIFS('INPUT_CALLS'!$A$2:$A$10000,'PPT_DATA'!$P$2,'INPUT_CALLS'!$B$2:$B$10000,"LOAN",'INPUT_CALLS'!$C$2:$C$10000,A4)</x:f>
        <x:v>0</x:v>
      </x:c>
      <x:c r="C4" s="4" t="n">
        <x:f>COUNTIFS('INPUT_CALLS'!$A$2:$A$10000,'PPT_DATA'!$P$2,'INPUT_CALLS'!$B$2:$B$10000,"LOAN",'INPUT_CALLS'!$C$2:$C$10000,A4,'INPUT_CALLS'!$F$2:$F$10000,100)</x:f>
        <x:v>0</x:v>
      </x:c>
      <x:c r="D4" s="4" t="n">
        <x:f>COUNTIFS('INPUT_CALLS'!$A$2:$A$10000,'PPT_DATA'!$P$2,'INPUT_CALLS'!$B$2:$B$10000,"LOAN",'INPUT_CALLS'!$C$2:$C$10000,A4,'INPUT_CALLS'!$K$2:$K$10000,1)</x:f>
        <x:v>0</x:v>
      </x:c>
      <x:c r="E4" s="7" t="n">
        <x:f>IFERROR(D4/B4,0)</x:f>
        <x:v>0</x:v>
      </x:c>
      <x:c r="F4" s="8" t="n">
        <x:f>IFERROR(SUMIFS('INPUT_CALLS'!$F$2:$F$10000,'INPUT_CALLS'!$A$2:$A$10000,'PPT_DATA'!$P$2,'INPUT_CALLS'!$B$2:$B$10000,"LOAN",'INPUT_CALLS'!$C$2:$C$10000,A4)/COUNTIFS('INPUT_CALLS'!$A$2:$A$10000,'PPT_DATA'!$P$2,'INPUT_CALLS'!$B$2:$B$10000,"LOAN",'INPUT_CALLS'!$C$2:$C$10000,A4),0)</x:f>
        <x:v>0</x:v>
      </x:c>
      <x:c r="G4" s="8" t="n">
        <x:f>IFERROR(MINIFS('INPUT_CALLS'!$F$2:$F$10000,'INPUT_CALLS'!$A$2:$A$10000,'PPT_DATA'!$P$2,'INPUT_CALLS'!$B$2:$B$10000,"LOAN",'INPUT_CALLS'!$C$2:$C$10000,A4),0)</x:f>
        <x:v>0</x:v>
      </x:c>
      <x:c r="H4" s="4" t="str">
        <x:f>A4&amp;": "&amp;TEXT(B4,"#,##0")&amp;" cuộc gọi; tỷ lệ lỗi "&amp;TEXT(E4,"0.00%")</x:f>
        <x:v>INBOUND: 0 cuộc gọi; tỷ lệ lỗi 0.00%</x:v>
      </x:c>
    </x:row>
    <x:row r="5">
      <x:c r="A5" s="4" t="str">
        <x:v>OUTBOUND</x:v>
      </x:c>
      <x:c r="B5" s="4" t="n">
        <x:f>COUNTIFS('INPUT_CALLS'!$A$2:$A$10000,'PPT_DATA'!$P$2,'INPUT_CALLS'!$B$2:$B$10000,"LOAN",'INPUT_CALLS'!$C$2:$C$10000,A5)</x:f>
        <x:v>0</x:v>
      </x:c>
      <x:c r="C5" s="4" t="n">
        <x:f>COUNTIFS('INPUT_CALLS'!$A$2:$A$10000,'PPT_DATA'!$P$2,'INPUT_CALLS'!$B$2:$B$10000,"LOAN",'INPUT_CALLS'!$C$2:$C$10000,A5,'INPUT_CALLS'!$F$2:$F$10000,100)</x:f>
        <x:v>0</x:v>
      </x:c>
      <x:c r="D5" s="4" t="n">
        <x:f>COUNTIFS('INPUT_CALLS'!$A$2:$A$10000,'PPT_DATA'!$P$2,'INPUT_CALLS'!$B$2:$B$10000,"LOAN",'INPUT_CALLS'!$C$2:$C$10000,A5,'INPUT_CALLS'!$K$2:$K$10000,1)</x:f>
        <x:v>0</x:v>
      </x:c>
      <x:c r="E5" s="7" t="n">
        <x:f>IFERROR(D5/B5,0)</x:f>
        <x:v>0</x:v>
      </x:c>
      <x:c r="F5" s="8" t="n">
        <x:f>IFERROR(SUMIFS('INPUT_CALLS'!$F$2:$F$10000,'INPUT_CALLS'!$A$2:$A$10000,'PPT_DATA'!$P$2,'INPUT_CALLS'!$B$2:$B$10000,"LOAN",'INPUT_CALLS'!$C$2:$C$10000,A5)/COUNTIFS('INPUT_CALLS'!$A$2:$A$10000,'PPT_DATA'!$P$2,'INPUT_CALLS'!$B$2:$B$10000,"LOAN",'INPUT_CALLS'!$C$2:$C$10000,A5),0)</x:f>
        <x:v>0</x:v>
      </x:c>
      <x:c r="G5" s="8" t="n">
        <x:f>IFERROR(MINIFS('INPUT_CALLS'!$F$2:$F$10000,'INPUT_CALLS'!$A$2:$A$10000,'PPT_DATA'!$P$2,'INPUT_CALLS'!$B$2:$B$10000,"LOAN",'INPUT_CALLS'!$C$2:$C$10000,A5),0)</x:f>
        <x:v>0</x:v>
      </x:c>
      <x:c r="H5" s="4" t="str">
        <x:f>A5&amp;": "&amp;TEXT(B5,"#,##0")&amp;" cuộc gọi; tỷ lệ lỗi "&amp;TEXT(E5,"0.00%")</x:f>
        <x:v>OUTBOUND: 0 cuộc gọi; tỷ lệ lỗi 0.00%</x:v>
      </x:c>
    </x:row>
    <x:row r="6">
      <x:c r="A6" s="4"/>
      <x:c r="B6" s="4"/>
      <x:c r="C6" s="4"/>
      <x:c r="D6" s="4"/>
      <x:c r="E6" s="4"/>
      <x:c r="F6" s="4"/>
      <x:c r="G6" s="4"/>
      <x:c r="H6" s="4"/>
    </x:row>
    <x:row r="7">
      <x:c r="A7" s="4"/>
      <x:c r="B7" s="4"/>
      <x:c r="C7" s="4"/>
      <x:c r="D7" s="4"/>
      <x:c r="E7" s="4"/>
      <x:c r="F7" s="4"/>
      <x:c r="G7" s="4"/>
      <x:c r="H7" s="4"/>
    </x:row>
    <x:row r="8">
      <x:c r="A8" s="4"/>
      <x:c r="B8" s="4"/>
      <x:c r="C8" s="4"/>
      <x:c r="D8" s="4"/>
      <x:c r="E8" s="4"/>
      <x:c r="F8" s="4"/>
      <x:c r="G8" s="4"/>
      <x:c r="H8" s="4"/>
    </x:row>
    <x:row r="9">
      <x:c r="A9" s="20" t="str">
        <x:v>Kênh</x:v>
      </x:c>
      <x:c r="B9" s="20" t="str">
        <x:v>Mở đầu</x:v>
      </x:c>
      <x:c r="C9" s="20" t="str">
        <x:v>Giao tiếp</x:v>
      </x:c>
      <x:c r="D9" s="20" t="str">
        <x:v>Nghiệp vụ</x:v>
      </x:c>
      <x:c r="E9" s="20" t="str">
        <x:v>Kết thúc</x:v>
      </x:c>
      <x:c r="F9" s="20" t="str">
        <x:v>Tổng lỗi tiêu chí</x:v>
      </x:c>
      <x:c r="G9" s="20"/>
      <x:c r="H9" s="20"/>
    </x:row>
    <x:row r="10">
      <x:c r="A10" s="4" t="str">
        <x:v>INBOUND</x:v>
      </x:c>
      <x:c r="B10" s="4" t="n">
        <x:f>SUMIFS('INPUT_CALLS'!$G$2:$G$10000,'INPUT_CALLS'!$A$2:$A$10000,'PPT_DATA'!$P$2,'INPUT_CALLS'!$B$2:$B$10000,"LOAN",'INPUT_CALLS'!$C$2:$C$10000,A10)</x:f>
        <x:v>0</x:v>
      </x:c>
      <x:c r="C10" s="4" t="n">
        <x:f>SUMIFS('INPUT_CALLS'!$H$2:$H$10000,'INPUT_CALLS'!$A$2:$A$10000,'PPT_DATA'!$P$2,'INPUT_CALLS'!$B$2:$B$10000,"LOAN",'INPUT_CALLS'!$C$2:$C$10000,A10)</x:f>
        <x:v>0</x:v>
      </x:c>
      <x:c r="D10" s="4" t="n">
        <x:f>SUMIFS('INPUT_CALLS'!$I$2:$I$10000,'INPUT_CALLS'!$A$2:$A$10000,'PPT_DATA'!$P$2,'INPUT_CALLS'!$B$2:$B$10000,"LOAN",'INPUT_CALLS'!$C$2:$C$10000,A10)</x:f>
        <x:v>0</x:v>
      </x:c>
      <x:c r="E10" s="4" t="n">
        <x:f>SUMIFS('INPUT_CALLS'!$J$2:$J$10000,'INPUT_CALLS'!$A$2:$A$10000,'PPT_DATA'!$P$2,'INPUT_CALLS'!$B$2:$B$10000,"LOAN",'INPUT_CALLS'!$C$2:$C$10000,A10)</x:f>
        <x:v>0</x:v>
      </x:c>
      <x:c r="F10" s="4" t="n">
        <x:f>SUM(B10:E10)</x:f>
        <x:v>0</x:v>
      </x:c>
      <x:c r="G10" s="4"/>
      <x:c r="H10" s="4"/>
    </x:row>
    <x:row r="11">
      <x:c r="A11" s="4" t="str">
        <x:v>OUTBOUND</x:v>
      </x:c>
      <x:c r="B11" s="4" t="n">
        <x:f>SUMIFS('INPUT_CALLS'!$G$2:$G$10000,'INPUT_CALLS'!$A$2:$A$10000,'PPT_DATA'!$P$2,'INPUT_CALLS'!$B$2:$B$10000,"LOAN",'INPUT_CALLS'!$C$2:$C$10000,A11)</x:f>
        <x:v>0</x:v>
      </x:c>
      <x:c r="C11" s="4" t="n">
        <x:f>SUMIFS('INPUT_CALLS'!$H$2:$H$10000,'INPUT_CALLS'!$A$2:$A$10000,'PPT_DATA'!$P$2,'INPUT_CALLS'!$B$2:$B$10000,"LOAN",'INPUT_CALLS'!$C$2:$C$10000,A11)</x:f>
        <x:v>0</x:v>
      </x:c>
      <x:c r="D11" s="4" t="n">
        <x:f>SUMIFS('INPUT_CALLS'!$I$2:$I$10000,'INPUT_CALLS'!$A$2:$A$10000,'PPT_DATA'!$P$2,'INPUT_CALLS'!$B$2:$B$10000,"LOAN",'INPUT_CALLS'!$C$2:$C$10000,A11)</x:f>
        <x:v>0</x:v>
      </x:c>
      <x:c r="E11" s="4" t="n">
        <x:f>SUMIFS('INPUT_CALLS'!$J$2:$J$10000,'INPUT_CALLS'!$A$2:$A$10000,'PPT_DATA'!$P$2,'INPUT_CALLS'!$B$2:$B$10000,"LOAN",'INPUT_CALLS'!$C$2:$C$10000,A11)</x:f>
        <x:v>0</x:v>
      </x:c>
      <x:c r="F11" s="4" t="n">
        <x:f>SUM(B11:E11)</x:f>
        <x:v>0</x:v>
      </x:c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20" t="str">
        <x:v>Kênh</x:v>
      </x:c>
      <x:c r="B14" s="20" t="str">
        <x:v>80–89</x:v>
      </x:c>
      <x:c r="C14" s="20" t="str">
        <x:v>90–94</x:v>
      </x:c>
      <x:c r="D14" s="20" t="str">
        <x:v>95–99</x:v>
      </x:c>
      <x:c r="E14" s="20" t="str">
        <x:v>100</x:v>
      </x:c>
      <x:c r="F14" s="20" t="str">
        <x:v>Tổng</x:v>
      </x:c>
      <x:c r="G14" s="20"/>
      <x:c r="H14" s="20"/>
    </x:row>
    <x:row r="15">
      <x:c r="A15" s="4" t="str">
        <x:v>INBOUND</x:v>
      </x:c>
      <x:c r="B15" s="4" t="n">
        <x:f>COUNTIFS('INPUT_CALLS'!$B$2:$B$10000,"LOAN",'INPUT_CALLS'!$C$2:$C$10000,A15,'INPUT_CALLS'!$F$2:$F$10000,"&gt;=80",'INPUT_CALLS'!$F$2:$F$10000,"&lt;90")</x:f>
        <x:v>0</x:v>
      </x:c>
      <x:c r="C15" s="4" t="n">
        <x:f>COUNTIFS('INPUT_CALLS'!$B$2:$B$10000,"LOAN",'INPUT_CALLS'!$C$2:$C$10000,A15,'INPUT_CALLS'!$F$2:$F$10000,"&gt;=90",'INPUT_CALLS'!$F$2:$F$10000,"&lt;95")</x:f>
        <x:v>0</x:v>
      </x:c>
      <x:c r="D15" s="4" t="n">
        <x:f>COUNTIFS('INPUT_CALLS'!$B$2:$B$10000,"LOAN",'INPUT_CALLS'!$C$2:$C$10000,A15,'INPUT_CALLS'!$F$2:$F$10000,"&gt;=95",'INPUT_CALLS'!$F$2:$F$10000,"&lt;100")</x:f>
        <x:v>0</x:v>
      </x:c>
      <x:c r="E15" s="4" t="n">
        <x:f>COUNTIFS('INPUT_CALLS'!$B$2:$B$10000,"LOAN",'INPUT_CALLS'!$C$2:$C$10000,A15,'INPUT_CALLS'!$F$2:$F$10000,100)</x:f>
        <x:v>0</x:v>
      </x:c>
      <x:c r="F15" s="4" t="n">
        <x:f>SUM(B15:E15)</x:f>
        <x:v>0</x:v>
      </x:c>
      <x:c r="G15" s="4"/>
      <x:c r="H15" s="4"/>
    </x:row>
    <x:row r="16">
      <x:c r="A16" s="4" t="str">
        <x:v>OUTBOUND</x:v>
      </x:c>
      <x:c r="B16" s="4" t="n">
        <x:f>COUNTIFS('INPUT_CALLS'!$B$2:$B$10000,"LOAN",'INPUT_CALLS'!$C$2:$C$10000,A16,'INPUT_CALLS'!$F$2:$F$10000,"&gt;=80",'INPUT_CALLS'!$F$2:$F$10000,"&lt;90")</x:f>
        <x:v>0</x:v>
      </x:c>
      <x:c r="C16" s="4" t="n">
        <x:f>COUNTIFS('INPUT_CALLS'!$B$2:$B$10000,"LOAN",'INPUT_CALLS'!$C$2:$C$10000,A16,'INPUT_CALLS'!$F$2:$F$10000,"&gt;=90",'INPUT_CALLS'!$F$2:$F$10000,"&lt;95")</x:f>
        <x:v>0</x:v>
      </x:c>
      <x:c r="D16" s="4" t="n">
        <x:f>COUNTIFS('INPUT_CALLS'!$B$2:$B$10000,"LOAN",'INPUT_CALLS'!$C$2:$C$10000,A16,'INPUT_CALLS'!$F$2:$F$10000,"&gt;=95",'INPUT_CALLS'!$F$2:$F$10000,"&lt;100")</x:f>
        <x:v>0</x:v>
      </x:c>
      <x:c r="E16" s="4" t="n">
        <x:f>COUNTIFS('INPUT_CALLS'!$B$2:$B$10000,"LOAN",'INPUT_CALLS'!$C$2:$C$10000,A16,'INPUT_CALLS'!$F$2:$F$10000,100)</x:f>
        <x:v>0</x:v>
      </x:c>
      <x:c r="F16" s="4" t="n">
        <x:f>SUM(B16:E16)</x:f>
        <x:v>0</x:v>
      </x:c>
      <x:c r="G16" s="4"/>
      <x:c r="H16" s="4"/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>
      <x:c r="A18" s="4"/>
      <x:c r="B18" s="4"/>
      <x:c r="C18" s="4"/>
      <x:c r="D18" s="4"/>
      <x:c r="E18" s="4"/>
      <x:c r="F18" s="4"/>
      <x:c r="G18" s="4"/>
      <x:c r="H18" s="4"/>
    </x:row>
    <x:row r="19">
      <x:c r="A19" s="20" t="str">
        <x:v>Kênh</x:v>
      </x:c>
      <x:c r="B19" s="20" t="str">
        <x:v>0 lỗi</x:v>
      </x:c>
      <x:c r="C19" s="20" t="str">
        <x:v>1 lỗi</x:v>
      </x:c>
      <x:c r="D19" s="20" t="str">
        <x:v>2 lỗi</x:v>
      </x:c>
      <x:c r="E19" s="20" t="str">
        <x:v>3+ lỗi</x:v>
      </x:c>
      <x:c r="F19" s="20" t="str">
        <x:v>Tổng</x:v>
      </x:c>
      <x:c r="G19" s="20"/>
      <x:c r="H19" s="20"/>
    </x:row>
    <x:row r="20">
      <x:c r="A20" s="4" t="str">
        <x:v>INBOUND</x:v>
      </x:c>
      <x:c r="B20" s="4" t="n">
        <x:f>COUNTIFS('INPUT_CALLS'!$B$2:$B$10000,"LOAN",'INPUT_CALLS'!$C$2:$C$10000,A20,'INPUT_CALLS'!$G$2:$G$10000,0,'INPUT_CALLS'!$H$2:$H$10000,0,'INPUT_CALLS'!$I$2:$I$10000,0,'INPUT_CALLS'!$J$2:$J$10000,0)</x:f>
        <x:v>0</x:v>
      </x:c>
      <x:c r="C20" s="4" t="n">
        <x:f>SUMPRODUCT(('INPUT_CALLS'!$B$2:$B$10000="LOAN")*('INPUT_CALLS'!$C$2:$C$10000=A20)*(('INPUT_CALLS'!$G$2:$G$10000+'INPUT_CALLS'!$H$2:$H$10000+'INPUT_CALLS'!$I$2:$I$10000+'INPUT_CALLS'!$J$2:$J$10000)=1))</x:f>
        <x:v>0</x:v>
      </x:c>
      <x:c r="D20" s="4" t="n">
        <x:f>SUMPRODUCT(('INPUT_CALLS'!$B$2:$B$10000="LOAN")*('INPUT_CALLS'!$C$2:$C$10000=A20)*(('INPUT_CALLS'!$G$2:$G$10000+'INPUT_CALLS'!$H$2:$H$10000+'INPUT_CALLS'!$I$2:$I$10000+'INPUT_CALLS'!$J$2:$J$10000)=2))</x:f>
        <x:v>0</x:v>
      </x:c>
      <x:c r="E20" s="4" t="n">
        <x:f>SUMPRODUCT(('INPUT_CALLS'!$B$2:$B$10000="LOAN")*('INPUT_CALLS'!$C$2:$C$10000=A20)*(('INPUT_CALLS'!$G$2:$G$10000+'INPUT_CALLS'!$H$2:$H$10000+'INPUT_CALLS'!$I$2:$I$10000+'INPUT_CALLS'!$J$2:$J$10000)&gt;=3))</x:f>
        <x:v>0</x:v>
      </x:c>
      <x:c r="F20" s="4" t="n">
        <x:f>SUM(B20:E20)</x:f>
        <x:v>0</x:v>
      </x:c>
      <x:c r="G20" s="4"/>
      <x:c r="H20" s="4"/>
    </x:row>
    <x:row r="21">
      <x:c r="A21" s="4" t="str">
        <x:v>OUTBOUND</x:v>
      </x:c>
      <x:c r="B21" s="4" t="n">
        <x:f>COUNTIFS('INPUT_CALLS'!$B$2:$B$10000,"LOAN",'INPUT_CALLS'!$C$2:$C$10000,A21,'INPUT_CALLS'!$G$2:$G$10000,0,'INPUT_CALLS'!$H$2:$H$10000,0,'INPUT_CALLS'!$I$2:$I$10000,0,'INPUT_CALLS'!$J$2:$J$10000,0)</x:f>
        <x:v>0</x:v>
      </x:c>
      <x:c r="C21" s="4" t="n">
        <x:f>SUMPRODUCT(('INPUT_CALLS'!$B$2:$B$10000="LOAN")*('INPUT_CALLS'!$C$2:$C$10000=A21)*(('INPUT_CALLS'!$G$2:$G$10000+'INPUT_CALLS'!$H$2:$H$10000+'INPUT_CALLS'!$I$2:$I$10000+'INPUT_CALLS'!$J$2:$J$10000)=1))</x:f>
        <x:v>0</x:v>
      </x:c>
      <x:c r="D21" s="4" t="n">
        <x:f>SUMPRODUCT(('INPUT_CALLS'!$B$2:$B$10000="LOAN")*('INPUT_CALLS'!$C$2:$C$10000=A21)*(('INPUT_CALLS'!$G$2:$G$10000+'INPUT_CALLS'!$H$2:$H$10000+'INPUT_CALLS'!$I$2:$I$10000+'INPUT_CALLS'!$J$2:$J$10000)=2))</x:f>
        <x:v>0</x:v>
      </x:c>
      <x:c r="E21" s="4" t="n">
        <x:f>SUMPRODUCT(('INPUT_CALLS'!$B$2:$B$10000="LOAN")*('INPUT_CALLS'!$C$2:$C$10000=A21)*(('INPUT_CALLS'!$G$2:$G$10000+'INPUT_CALLS'!$H$2:$H$10000+'INPUT_CALLS'!$I$2:$I$10000+'INPUT_CALLS'!$J$2:$J$10000)&gt;=3))</x:f>
        <x:v>0</x:v>
      </x:c>
      <x:c r="F21" s="4" t="n">
        <x:f>SUM(B21:E21)</x:f>
        <x:v>0</x:v>
      </x:c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20" t="str">
        <x:v>Kênh</x:v>
      </x:c>
      <x:c r="B24" s="20" t="str">
        <x:v>Kỳ trước</x:v>
      </x:c>
      <x:c r="C24" s="20" t="str">
        <x:v>Kỳ hiện tại</x:v>
      </x:c>
      <x:c r="D24" s="20" t="str">
        <x:v>Chênh lệch</x:v>
      </x:c>
      <x:c r="E24" s="20"/>
      <x:c r="F24" s="20"/>
      <x:c r="G24" s="20"/>
      <x:c r="H24" s="20"/>
    </x:row>
    <x:row r="25">
      <x:c r="A25" s="4" t="str">
        <x:v>INBOUND</x:v>
      </x:c>
      <x:c r="B25" s="7" t="str">
        <x:f>IF('PPT_DATA'!$Q$2="","",IFERROR(COUNTIFS('INPUT_CALLS'!$A$2:$A$10000,'PPT_DATA'!$Q$2,'INPUT_CALLS'!$B$2:$B$10000,"LOAN",'INPUT_CALLS'!$C$2:$C$10000,A25,'INPUT_CALLS'!$K$2:$K$10000,1)/COUNTIFS('INPUT_CALLS'!$A$2:$A$10000,'PPT_DATA'!$Q$2,'INPUT_CALLS'!$B$2:$B$10000,"LOAN",'INPUT_CALLS'!$C$2:$C$10000,A25),0))</x:f>
      </x:c>
      <x:c r="C25" s="7" t="n">
        <x:f>E4</x:f>
        <x:v>0</x:v>
      </x:c>
      <x:c r="D25" s="7" t="str">
        <x:f>IF(B25="","",C25-B25)</x:f>
      </x:c>
      <x:c r="E25" s="4"/>
      <x:c r="F25" s="4"/>
      <x:c r="G25" s="4"/>
      <x:c r="H25" s="4"/>
    </x:row>
    <x:row r="26">
      <x:c r="A26" s="4" t="str">
        <x:v>OUTBOUND</x:v>
      </x:c>
      <x:c r="B26" s="7" t="str">
        <x:f>IF('PPT_DATA'!$Q$2="","",IFERROR(COUNTIFS('INPUT_CALLS'!$A$2:$A$10000,'PPT_DATA'!$Q$2,'INPUT_CALLS'!$B$2:$B$10000,"LOAN",'INPUT_CALLS'!$C$2:$C$10000,A26,'INPUT_CALLS'!$K$2:$K$10000,1)/COUNTIFS('INPUT_CALLS'!$A$2:$A$10000,'PPT_DATA'!$Q$2,'INPUT_CALLS'!$B$2:$B$10000,"LOAN",'INPUT_CALLS'!$C$2:$C$10000,A26),0))</x:f>
      </x:c>
      <x:c r="C26" s="7" t="n">
        <x:f>E5</x:f>
        <x:v>0</x:v>
      </x:c>
      <x:c r="D26" s="7" t="str">
        <x:f>IF(B26="","",C26-B26)</x:f>
      </x:c>
      <x:c r="E26" s="4"/>
      <x:c r="F26" s="4"/>
      <x:c r="G26" s="4"/>
      <x:c r="H26" s="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7d5f3a935f546c0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1" t="str">
        <x:v>B. CARD — BÁO CÁO CHẤT LƯỢNG</x:v>
      </x:c>
      <x:c r="B1" s="11"/>
      <x:c r="C1" s="11"/>
      <x:c r="D1" s="11"/>
      <x:c r="E1" s="11"/>
      <x:c r="F1" s="11"/>
      <x:c r="G1" s="11"/>
      <x:c r="H1" s="11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0" t="str">
        <x:v>Kênh</x:v>
      </x:c>
      <x:c r="B3" s="20" t="str">
        <x:v>Tổng QA</x:v>
      </x:c>
      <x:c r="C3" s="20" t="str">
        <x:v>Đạt 100</x:v>
      </x:c>
      <x:c r="D3" s="20" t="str">
        <x:v>Có lỗi</x:v>
      </x:c>
      <x:c r="E3" s="20" t="str">
        <x:v>Tỷ lệ lỗi</x:v>
      </x:c>
      <x:c r="F3" s="20" t="str">
        <x:v>Điểm QA TB</x:v>
      </x:c>
      <x:c r="G3" s="20" t="str">
        <x:v>Điểm thấp nhất</x:v>
      </x:c>
      <x:c r="H3" s="20" t="str">
        <x:v>Kết luận</x:v>
      </x:c>
    </x:row>
    <x:row r="4">
      <x:c r="A4" s="4" t="str">
        <x:v>INBOUND</x:v>
      </x:c>
      <x:c r="B4" s="4" t="n">
        <x:f>COUNTIFS('INPUT_CALLS'!$A$2:$A$10000,'PPT_DATA'!$P$2,'INPUT_CALLS'!$B$2:$B$10000,"CARD",'INPUT_CALLS'!$C$2:$C$10000,A4)</x:f>
        <x:v>0</x:v>
      </x:c>
      <x:c r="C4" s="4" t="n">
        <x:f>COUNTIFS('INPUT_CALLS'!$A$2:$A$10000,'PPT_DATA'!$P$2,'INPUT_CALLS'!$B$2:$B$10000,"CARD",'INPUT_CALLS'!$C$2:$C$10000,A4,'INPUT_CALLS'!$F$2:$F$10000,100)</x:f>
        <x:v>0</x:v>
      </x:c>
      <x:c r="D4" s="4" t="n">
        <x:f>COUNTIFS('INPUT_CALLS'!$A$2:$A$10000,'PPT_DATA'!$P$2,'INPUT_CALLS'!$B$2:$B$10000,"CARD",'INPUT_CALLS'!$C$2:$C$10000,A4,'INPUT_CALLS'!$K$2:$K$10000,1)</x:f>
        <x:v>0</x:v>
      </x:c>
      <x:c r="E4" s="7" t="n">
        <x:f>IFERROR(D4/B4,0)</x:f>
        <x:v>0</x:v>
      </x:c>
      <x:c r="F4" s="8" t="n">
        <x:f>IFERROR(SUMIFS('INPUT_CALLS'!$F$2:$F$10000,'INPUT_CALLS'!$A$2:$A$10000,'PPT_DATA'!$P$2,'INPUT_CALLS'!$B$2:$B$10000,"CARD",'INPUT_CALLS'!$C$2:$C$10000,A4)/COUNTIFS('INPUT_CALLS'!$A$2:$A$10000,'PPT_DATA'!$P$2,'INPUT_CALLS'!$B$2:$B$10000,"CARD",'INPUT_CALLS'!$C$2:$C$10000,A4),0)</x:f>
        <x:v>0</x:v>
      </x:c>
      <x:c r="G4" s="8" t="n">
        <x:f>IFERROR(MINIFS('INPUT_CALLS'!$F$2:$F$10000,'INPUT_CALLS'!$A$2:$A$10000,'PPT_DATA'!$P$2,'INPUT_CALLS'!$B$2:$B$10000,"CARD",'INPUT_CALLS'!$C$2:$C$10000,A4),0)</x:f>
        <x:v>0</x:v>
      </x:c>
      <x:c r="H4" s="4" t="str">
        <x:f>A4&amp;": "&amp;TEXT(B4,"#,##0")&amp;" cuộc gọi; tỷ lệ lỗi "&amp;TEXT(E4,"0.00%")</x:f>
        <x:v>INBOUND: 0 cuộc gọi; tỷ lệ lỗi 0.00%</x:v>
      </x:c>
    </x:row>
    <x:row r="5">
      <x:c r="A5" s="4" t="str">
        <x:v>OUTBOUND</x:v>
      </x:c>
      <x:c r="B5" s="4" t="n">
        <x:f>COUNTIFS('INPUT_CALLS'!$A$2:$A$10000,'PPT_DATA'!$P$2,'INPUT_CALLS'!$B$2:$B$10000,"CARD",'INPUT_CALLS'!$C$2:$C$10000,A5)</x:f>
        <x:v>0</x:v>
      </x:c>
      <x:c r="C5" s="4" t="n">
        <x:f>COUNTIFS('INPUT_CALLS'!$A$2:$A$10000,'PPT_DATA'!$P$2,'INPUT_CALLS'!$B$2:$B$10000,"CARD",'INPUT_CALLS'!$C$2:$C$10000,A5,'INPUT_CALLS'!$F$2:$F$10000,100)</x:f>
        <x:v>0</x:v>
      </x:c>
      <x:c r="D5" s="4" t="n">
        <x:f>COUNTIFS('INPUT_CALLS'!$A$2:$A$10000,'PPT_DATA'!$P$2,'INPUT_CALLS'!$B$2:$B$10000,"CARD",'INPUT_CALLS'!$C$2:$C$10000,A5,'INPUT_CALLS'!$K$2:$K$10000,1)</x:f>
        <x:v>0</x:v>
      </x:c>
      <x:c r="E5" s="7" t="n">
        <x:f>IFERROR(D5/B5,0)</x:f>
        <x:v>0</x:v>
      </x:c>
      <x:c r="F5" s="8" t="n">
        <x:f>IFERROR(SUMIFS('INPUT_CALLS'!$F$2:$F$10000,'INPUT_CALLS'!$A$2:$A$10000,'PPT_DATA'!$P$2,'INPUT_CALLS'!$B$2:$B$10000,"CARD",'INPUT_CALLS'!$C$2:$C$10000,A5)/COUNTIFS('INPUT_CALLS'!$A$2:$A$10000,'PPT_DATA'!$P$2,'INPUT_CALLS'!$B$2:$B$10000,"CARD",'INPUT_CALLS'!$C$2:$C$10000,A5),0)</x:f>
        <x:v>0</x:v>
      </x:c>
      <x:c r="G5" s="8" t="n">
        <x:f>IFERROR(MINIFS('INPUT_CALLS'!$F$2:$F$10000,'INPUT_CALLS'!$A$2:$A$10000,'PPT_DATA'!$P$2,'INPUT_CALLS'!$B$2:$B$10000,"CARD",'INPUT_CALLS'!$C$2:$C$10000,A5),0)</x:f>
        <x:v>0</x:v>
      </x:c>
      <x:c r="H5" s="4" t="str">
        <x:f>A5&amp;": "&amp;TEXT(B5,"#,##0")&amp;" cuộc gọi; tỷ lệ lỗi "&amp;TEXT(E5,"0.00%")</x:f>
        <x:v>OUTBOUND: 0 cuộc gọi; tỷ lệ lỗi 0.00%</x:v>
      </x:c>
    </x:row>
    <x:row r="6">
      <x:c r="A6" s="4"/>
      <x:c r="B6" s="4"/>
      <x:c r="C6" s="4"/>
      <x:c r="D6" s="4"/>
      <x:c r="E6" s="4"/>
      <x:c r="F6" s="4"/>
      <x:c r="G6" s="4"/>
      <x:c r="H6" s="4"/>
    </x:row>
    <x:row r="7">
      <x:c r="A7" s="4"/>
      <x:c r="B7" s="4"/>
      <x:c r="C7" s="4"/>
      <x:c r="D7" s="4"/>
      <x:c r="E7" s="4"/>
      <x:c r="F7" s="4"/>
      <x:c r="G7" s="4"/>
      <x:c r="H7" s="4"/>
    </x:row>
    <x:row r="8">
      <x:c r="A8" s="4"/>
      <x:c r="B8" s="4"/>
      <x:c r="C8" s="4"/>
      <x:c r="D8" s="4"/>
      <x:c r="E8" s="4"/>
      <x:c r="F8" s="4"/>
      <x:c r="G8" s="4"/>
      <x:c r="H8" s="4"/>
    </x:row>
    <x:row r="9">
      <x:c r="A9" s="20" t="str">
        <x:v>Kênh</x:v>
      </x:c>
      <x:c r="B9" s="20" t="str">
        <x:v>Mở đầu</x:v>
      </x:c>
      <x:c r="C9" s="20" t="str">
        <x:v>Giao tiếp</x:v>
      </x:c>
      <x:c r="D9" s="20" t="str">
        <x:v>Nghiệp vụ</x:v>
      </x:c>
      <x:c r="E9" s="20" t="str">
        <x:v>Kết thúc</x:v>
      </x:c>
      <x:c r="F9" s="20" t="str">
        <x:v>Tổng lỗi tiêu chí</x:v>
      </x:c>
      <x:c r="G9" s="20"/>
      <x:c r="H9" s="20"/>
    </x:row>
    <x:row r="10">
      <x:c r="A10" s="4" t="str">
        <x:v>INBOUND</x:v>
      </x:c>
      <x:c r="B10" s="4" t="n">
        <x:f>SUMIFS('INPUT_CALLS'!$G$2:$G$10000,'INPUT_CALLS'!$A$2:$A$10000,'PPT_DATA'!$P$2,'INPUT_CALLS'!$B$2:$B$10000,"CARD",'INPUT_CALLS'!$C$2:$C$10000,A10)</x:f>
        <x:v>0</x:v>
      </x:c>
      <x:c r="C10" s="4" t="n">
        <x:f>SUMIFS('INPUT_CALLS'!$H$2:$H$10000,'INPUT_CALLS'!$A$2:$A$10000,'PPT_DATA'!$P$2,'INPUT_CALLS'!$B$2:$B$10000,"CARD",'INPUT_CALLS'!$C$2:$C$10000,A10)</x:f>
        <x:v>0</x:v>
      </x:c>
      <x:c r="D10" s="4" t="n">
        <x:f>SUMIFS('INPUT_CALLS'!$I$2:$I$10000,'INPUT_CALLS'!$A$2:$A$10000,'PPT_DATA'!$P$2,'INPUT_CALLS'!$B$2:$B$10000,"CARD",'INPUT_CALLS'!$C$2:$C$10000,A10)</x:f>
        <x:v>0</x:v>
      </x:c>
      <x:c r="E10" s="4" t="n">
        <x:f>SUMIFS('INPUT_CALLS'!$J$2:$J$10000,'INPUT_CALLS'!$A$2:$A$10000,'PPT_DATA'!$P$2,'INPUT_CALLS'!$B$2:$B$10000,"CARD",'INPUT_CALLS'!$C$2:$C$10000,A10)</x:f>
        <x:v>0</x:v>
      </x:c>
      <x:c r="F10" s="4" t="n">
        <x:f>SUM(B10:E10)</x:f>
        <x:v>0</x:v>
      </x:c>
      <x:c r="G10" s="4"/>
      <x:c r="H10" s="4"/>
    </x:row>
    <x:row r="11">
      <x:c r="A11" s="4" t="str">
        <x:v>OUTBOUND</x:v>
      </x:c>
      <x:c r="B11" s="4" t="n">
        <x:f>SUMIFS('INPUT_CALLS'!$G$2:$G$10000,'INPUT_CALLS'!$A$2:$A$10000,'PPT_DATA'!$P$2,'INPUT_CALLS'!$B$2:$B$10000,"CARD",'INPUT_CALLS'!$C$2:$C$10000,A11)</x:f>
        <x:v>0</x:v>
      </x:c>
      <x:c r="C11" s="4" t="n">
        <x:f>SUMIFS('INPUT_CALLS'!$H$2:$H$10000,'INPUT_CALLS'!$A$2:$A$10000,'PPT_DATA'!$P$2,'INPUT_CALLS'!$B$2:$B$10000,"CARD",'INPUT_CALLS'!$C$2:$C$10000,A11)</x:f>
        <x:v>0</x:v>
      </x:c>
      <x:c r="D11" s="4" t="n">
        <x:f>SUMIFS('INPUT_CALLS'!$I$2:$I$10000,'INPUT_CALLS'!$A$2:$A$10000,'PPT_DATA'!$P$2,'INPUT_CALLS'!$B$2:$B$10000,"CARD",'INPUT_CALLS'!$C$2:$C$10000,A11)</x:f>
        <x:v>0</x:v>
      </x:c>
      <x:c r="E11" s="4" t="n">
        <x:f>SUMIFS('INPUT_CALLS'!$J$2:$J$10000,'INPUT_CALLS'!$A$2:$A$10000,'PPT_DATA'!$P$2,'INPUT_CALLS'!$B$2:$B$10000,"CARD",'INPUT_CALLS'!$C$2:$C$10000,A11)</x:f>
        <x:v>0</x:v>
      </x:c>
      <x:c r="F11" s="4" t="n">
        <x:f>SUM(B11:E11)</x:f>
        <x:v>0</x:v>
      </x:c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20" t="str">
        <x:v>Kênh</x:v>
      </x:c>
      <x:c r="B14" s="20" t="str">
        <x:v>80–89</x:v>
      </x:c>
      <x:c r="C14" s="20" t="str">
        <x:v>90–94</x:v>
      </x:c>
      <x:c r="D14" s="20" t="str">
        <x:v>95–99</x:v>
      </x:c>
      <x:c r="E14" s="20" t="str">
        <x:v>100</x:v>
      </x:c>
      <x:c r="F14" s="20" t="str">
        <x:v>Tổng</x:v>
      </x:c>
      <x:c r="G14" s="20"/>
      <x:c r="H14" s="20"/>
    </x:row>
    <x:row r="15">
      <x:c r="A15" s="4" t="str">
        <x:v>INBOUND</x:v>
      </x:c>
      <x:c r="B15" s="4" t="n">
        <x:f>COUNTIFS('INPUT_CALLS'!$B$2:$B$10000,"CARD",'INPUT_CALLS'!$C$2:$C$10000,A15,'INPUT_CALLS'!$F$2:$F$10000,"&gt;=80",'INPUT_CALLS'!$F$2:$F$10000,"&lt;90")</x:f>
        <x:v>0</x:v>
      </x:c>
      <x:c r="C15" s="4" t="n">
        <x:f>COUNTIFS('INPUT_CALLS'!$B$2:$B$10000,"CARD",'INPUT_CALLS'!$C$2:$C$10000,A15,'INPUT_CALLS'!$F$2:$F$10000,"&gt;=90",'INPUT_CALLS'!$F$2:$F$10000,"&lt;95")</x:f>
        <x:v>0</x:v>
      </x:c>
      <x:c r="D15" s="4" t="n">
        <x:f>COUNTIFS('INPUT_CALLS'!$B$2:$B$10000,"CARD",'INPUT_CALLS'!$C$2:$C$10000,A15,'INPUT_CALLS'!$F$2:$F$10000,"&gt;=95",'INPUT_CALLS'!$F$2:$F$10000,"&lt;100")</x:f>
        <x:v>0</x:v>
      </x:c>
      <x:c r="E15" s="4" t="n">
        <x:f>COUNTIFS('INPUT_CALLS'!$B$2:$B$10000,"CARD",'INPUT_CALLS'!$C$2:$C$10000,A15,'INPUT_CALLS'!$F$2:$F$10000,100)</x:f>
        <x:v>0</x:v>
      </x:c>
      <x:c r="F15" s="4" t="n">
        <x:f>SUM(B15:E15)</x:f>
        <x:v>0</x:v>
      </x:c>
      <x:c r="G15" s="4"/>
      <x:c r="H15" s="4"/>
    </x:row>
    <x:row r="16">
      <x:c r="A16" s="4" t="str">
        <x:v>OUTBOUND</x:v>
      </x:c>
      <x:c r="B16" s="4" t="n">
        <x:f>COUNTIFS('INPUT_CALLS'!$B$2:$B$10000,"CARD",'INPUT_CALLS'!$C$2:$C$10000,A16,'INPUT_CALLS'!$F$2:$F$10000,"&gt;=80",'INPUT_CALLS'!$F$2:$F$10000,"&lt;90")</x:f>
        <x:v>0</x:v>
      </x:c>
      <x:c r="C16" s="4" t="n">
        <x:f>COUNTIFS('INPUT_CALLS'!$B$2:$B$10000,"CARD",'INPUT_CALLS'!$C$2:$C$10000,A16,'INPUT_CALLS'!$F$2:$F$10000,"&gt;=90",'INPUT_CALLS'!$F$2:$F$10000,"&lt;95")</x:f>
        <x:v>0</x:v>
      </x:c>
      <x:c r="D16" s="4" t="n">
        <x:f>COUNTIFS('INPUT_CALLS'!$B$2:$B$10000,"CARD",'INPUT_CALLS'!$C$2:$C$10000,A16,'INPUT_CALLS'!$F$2:$F$10000,"&gt;=95",'INPUT_CALLS'!$F$2:$F$10000,"&lt;100")</x:f>
        <x:v>0</x:v>
      </x:c>
      <x:c r="E16" s="4" t="n">
        <x:f>COUNTIFS('INPUT_CALLS'!$B$2:$B$10000,"CARD",'INPUT_CALLS'!$C$2:$C$10000,A16,'INPUT_CALLS'!$F$2:$F$10000,100)</x:f>
        <x:v>0</x:v>
      </x:c>
      <x:c r="F16" s="4" t="n">
        <x:f>SUM(B16:E16)</x:f>
        <x:v>0</x:v>
      </x:c>
      <x:c r="G16" s="4"/>
      <x:c r="H16" s="4"/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>
      <x:c r="A18" s="4"/>
      <x:c r="B18" s="4"/>
      <x:c r="C18" s="4"/>
      <x:c r="D18" s="4"/>
      <x:c r="E18" s="4"/>
      <x:c r="F18" s="4"/>
      <x:c r="G18" s="4"/>
      <x:c r="H18" s="4"/>
    </x:row>
    <x:row r="19">
      <x:c r="A19" s="20" t="str">
        <x:v>Kênh</x:v>
      </x:c>
      <x:c r="B19" s="20" t="str">
        <x:v>0 lỗi</x:v>
      </x:c>
      <x:c r="C19" s="20" t="str">
        <x:v>1 lỗi</x:v>
      </x:c>
      <x:c r="D19" s="20" t="str">
        <x:v>2 lỗi</x:v>
      </x:c>
      <x:c r="E19" s="20" t="str">
        <x:v>3+ lỗi</x:v>
      </x:c>
      <x:c r="F19" s="20" t="str">
        <x:v>Tổng</x:v>
      </x:c>
      <x:c r="G19" s="20"/>
      <x:c r="H19" s="20"/>
    </x:row>
    <x:row r="20">
      <x:c r="A20" s="4" t="str">
        <x:v>INBOUND</x:v>
      </x:c>
      <x:c r="B20" s="4" t="n">
        <x:f>COUNTIFS('INPUT_CALLS'!$B$2:$B$10000,"CARD",'INPUT_CALLS'!$C$2:$C$10000,A20,'INPUT_CALLS'!$G$2:$G$10000,0,'INPUT_CALLS'!$H$2:$H$10000,0,'INPUT_CALLS'!$I$2:$I$10000,0,'INPUT_CALLS'!$J$2:$J$10000,0)</x:f>
        <x:v>0</x:v>
      </x:c>
      <x:c r="C20" s="4" t="n">
        <x:f>SUMPRODUCT(('INPUT_CALLS'!$B$2:$B$10000="CARD")*('INPUT_CALLS'!$C$2:$C$10000=A20)*(('INPUT_CALLS'!$G$2:$G$10000+'INPUT_CALLS'!$H$2:$H$10000+'INPUT_CALLS'!$I$2:$I$10000+'INPUT_CALLS'!$J$2:$J$10000)=1))</x:f>
        <x:v>0</x:v>
      </x:c>
      <x:c r="D20" s="4" t="n">
        <x:f>SUMPRODUCT(('INPUT_CALLS'!$B$2:$B$10000="CARD")*('INPUT_CALLS'!$C$2:$C$10000=A20)*(('INPUT_CALLS'!$G$2:$G$10000+'INPUT_CALLS'!$H$2:$H$10000+'INPUT_CALLS'!$I$2:$I$10000+'INPUT_CALLS'!$J$2:$J$10000)=2))</x:f>
        <x:v>0</x:v>
      </x:c>
      <x:c r="E20" s="4" t="n">
        <x:f>SUMPRODUCT(('INPUT_CALLS'!$B$2:$B$10000="CARD")*('INPUT_CALLS'!$C$2:$C$10000=A20)*(('INPUT_CALLS'!$G$2:$G$10000+'INPUT_CALLS'!$H$2:$H$10000+'INPUT_CALLS'!$I$2:$I$10000+'INPUT_CALLS'!$J$2:$J$10000)&gt;=3))</x:f>
        <x:v>0</x:v>
      </x:c>
      <x:c r="F20" s="4" t="n">
        <x:f>SUM(B20:E20)</x:f>
        <x:v>0</x:v>
      </x:c>
      <x:c r="G20" s="4"/>
      <x:c r="H20" s="4"/>
    </x:row>
    <x:row r="21">
      <x:c r="A21" s="4" t="str">
        <x:v>OUTBOUND</x:v>
      </x:c>
      <x:c r="B21" s="4" t="n">
        <x:f>COUNTIFS('INPUT_CALLS'!$B$2:$B$10000,"CARD",'INPUT_CALLS'!$C$2:$C$10000,A21,'INPUT_CALLS'!$G$2:$G$10000,0,'INPUT_CALLS'!$H$2:$H$10000,0,'INPUT_CALLS'!$I$2:$I$10000,0,'INPUT_CALLS'!$J$2:$J$10000,0)</x:f>
        <x:v>0</x:v>
      </x:c>
      <x:c r="C21" s="4" t="n">
        <x:f>SUMPRODUCT(('INPUT_CALLS'!$B$2:$B$10000="CARD")*('INPUT_CALLS'!$C$2:$C$10000=A21)*(('INPUT_CALLS'!$G$2:$G$10000+'INPUT_CALLS'!$H$2:$H$10000+'INPUT_CALLS'!$I$2:$I$10000+'INPUT_CALLS'!$J$2:$J$10000)=1))</x:f>
        <x:v>0</x:v>
      </x:c>
      <x:c r="D21" s="4" t="n">
        <x:f>SUMPRODUCT(('INPUT_CALLS'!$B$2:$B$10000="CARD")*('INPUT_CALLS'!$C$2:$C$10000=A21)*(('INPUT_CALLS'!$G$2:$G$10000+'INPUT_CALLS'!$H$2:$H$10000+'INPUT_CALLS'!$I$2:$I$10000+'INPUT_CALLS'!$J$2:$J$10000)=2))</x:f>
        <x:v>0</x:v>
      </x:c>
      <x:c r="E21" s="4" t="n">
        <x:f>SUMPRODUCT(('INPUT_CALLS'!$B$2:$B$10000="CARD")*('INPUT_CALLS'!$C$2:$C$10000=A21)*(('INPUT_CALLS'!$G$2:$G$10000+'INPUT_CALLS'!$H$2:$H$10000+'INPUT_CALLS'!$I$2:$I$10000+'INPUT_CALLS'!$J$2:$J$10000)&gt;=3))</x:f>
        <x:v>0</x:v>
      </x:c>
      <x:c r="F21" s="4" t="n">
        <x:f>SUM(B21:E21)</x:f>
        <x:v>0</x:v>
      </x:c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20" t="str">
        <x:v>Kênh</x:v>
      </x:c>
      <x:c r="B24" s="20" t="str">
        <x:v>Kỳ trước</x:v>
      </x:c>
      <x:c r="C24" s="20" t="str">
        <x:v>Kỳ hiện tại</x:v>
      </x:c>
      <x:c r="D24" s="20" t="str">
        <x:v>Chênh lệch</x:v>
      </x:c>
      <x:c r="E24" s="20"/>
      <x:c r="F24" s="20"/>
      <x:c r="G24" s="20"/>
      <x:c r="H24" s="20"/>
    </x:row>
    <x:row r="25">
      <x:c r="A25" s="4" t="str">
        <x:v>INBOUND</x:v>
      </x:c>
      <x:c r="B25" s="7" t="str">
        <x:f>IF('PPT_DATA'!$Q$2="","",IFERROR(COUNTIFS('INPUT_CALLS'!$A$2:$A$10000,'PPT_DATA'!$Q$2,'INPUT_CALLS'!$B$2:$B$10000,"CARD",'INPUT_CALLS'!$C$2:$C$10000,A25,'INPUT_CALLS'!$K$2:$K$10000,1)/COUNTIFS('INPUT_CALLS'!$A$2:$A$10000,'PPT_DATA'!$Q$2,'INPUT_CALLS'!$B$2:$B$10000,"CARD",'INPUT_CALLS'!$C$2:$C$10000,A25),0))</x:f>
      </x:c>
      <x:c r="C25" s="7" t="n">
        <x:f>E4</x:f>
        <x:v>0</x:v>
      </x:c>
      <x:c r="D25" s="7" t="str">
        <x:f>IF(B25="","",C25-B25)</x:f>
      </x:c>
      <x:c r="E25" s="4"/>
      <x:c r="F25" s="4"/>
      <x:c r="G25" s="4"/>
      <x:c r="H25" s="4"/>
    </x:row>
    <x:row r="26">
      <x:c r="A26" s="4" t="str">
        <x:v>OUTBOUND</x:v>
      </x:c>
      <x:c r="B26" s="7" t="str">
        <x:f>IF('PPT_DATA'!$Q$2="","",IFERROR(COUNTIFS('INPUT_CALLS'!$A$2:$A$10000,'PPT_DATA'!$Q$2,'INPUT_CALLS'!$B$2:$B$10000,"CARD",'INPUT_CALLS'!$C$2:$C$10000,A26,'INPUT_CALLS'!$K$2:$K$10000,1)/COUNTIFS('INPUT_CALLS'!$A$2:$A$10000,'PPT_DATA'!$Q$2,'INPUT_CALLS'!$B$2:$B$10000,"CARD",'INPUT_CALLS'!$C$2:$C$10000,A26),0))</x:f>
      </x:c>
      <x:c r="C26" s="7" t="n">
        <x:f>E5</x:f>
        <x:v>0</x:v>
      </x:c>
      <x:c r="D26" s="7" t="str">
        <x:f>IF(B26="","",C26-B26)</x:f>
      </x:c>
      <x:c r="E26" s="4"/>
      <x:c r="F26" s="4"/>
      <x:c r="G26" s="4"/>
      <x:c r="H26" s="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9993485e2c04f51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1" t="str">
        <x:v>LOAN — FCR, THANH LÝ VÀ KÊNH SỐ</x:v>
      </x:c>
      <x:c r="B1" s="11"/>
      <x:c r="C1" s="11"/>
      <x:c r="D1" s="11"/>
      <x:c r="E1" s="11"/>
      <x:c r="F1" s="11"/>
      <x:c r="G1" s="11"/>
      <x:c r="H1" s="14"/>
    </x:row>
    <x:row r="2">
      <x:c r="A2" s="4"/>
      <x:c r="B2" s="4"/>
      <x:c r="C2" s="4"/>
      <x:c r="D2" s="4"/>
      <x:c r="E2" s="4"/>
      <x:c r="F2" s="4"/>
      <x:c r="G2" s="4"/>
    </x:row>
    <x:row r="3">
      <x:c r="A3" s="20" t="str">
        <x:v>Chỉ tiêu</x:v>
      </x:c>
      <x:c r="B3" s="20" t="str">
        <x:v>Giá trị</x:v>
      </x:c>
      <x:c r="C3" s="4"/>
      <x:c r="D3" s="20" t="str">
        <x:v>Kênh</x:v>
      </x:c>
      <x:c r="E3" s="20" t="str">
        <x:v>Case QA</x:v>
      </x:c>
      <x:c r="F3" s="20" t="str">
        <x:v>Case lỗi</x:v>
      </x:c>
      <x:c r="G3" s="20" t="str">
        <x:v>Tỷ lệ lỗi</x:v>
      </x:c>
    </x:row>
    <x:row r="4">
      <x:c r="A4" s="4" t="str">
        <x:v>Tổng HĐ giám sát</x:v>
      </x:c>
      <x:c r="B4" s="4" t="n">
        <x:f>'INPUT_FCR'!B2</x:f>
        <x:v>0</x:v>
      </x:c>
      <x:c r="C4" s="4"/>
      <x:c r="D4" s="4" t="n">
        <x:f>'INPUT_DIGITAL'!B2</x:f>
        <x:v>0</x:v>
      </x:c>
      <x:c r="E4" s="4" t="n">
        <x:f>'INPUT_DIGITAL'!C2</x:f>
        <x:v>0</x:v>
      </x:c>
      <x:c r="F4" s="4" t="n">
        <x:f>'INPUT_DIGITAL'!D2</x:f>
        <x:v>0</x:v>
      </x:c>
      <x:c r="G4" s="7" t="n">
        <x:f>IFERROR(F4/E4,0)</x:f>
        <x:v>0</x:v>
      </x:c>
    </x:row>
    <x:row r="5">
      <x:c r="A5" s="4" t="str">
        <x:v>Tỷ lệ FCR</x:v>
      </x:c>
      <x:c r="B5" s="7" t="n">
        <x:f>IFERROR(1-('INPUT_FCR'!C2+'INPUT_FCR'!D2)/'INPUT_FCR'!B2,0)</x:f>
        <x:v>0</x:v>
      </x:c>
      <x:c r="C5" s="4"/>
      <x:c r="D5" s="4" t="n">
        <x:f>'INPUT_DIGITAL'!B3</x:f>
        <x:v>0</x:v>
      </x:c>
      <x:c r="E5" s="4" t="n">
        <x:f>'INPUT_DIGITAL'!C3</x:f>
        <x:v>0</x:v>
      </x:c>
      <x:c r="F5" s="4" t="n">
        <x:f>'INPUT_DIGITAL'!D3</x:f>
        <x:v>0</x:v>
      </x:c>
      <x:c r="G5" s="7" t="n">
        <x:f>IFERROR(F5/E5,0)</x:f>
        <x:v>0</x:v>
      </x:c>
    </x:row>
    <x:row r="6">
      <x:c r="A6" s="4" t="str">
        <x:v>HĐ thanh lý giám sát</x:v>
      </x:c>
      <x:c r="B6" s="4" t="n">
        <x:f>'INPUT_FCR'!E2</x:f>
        <x:v>0</x:v>
      </x:c>
      <x:c r="C6" s="4"/>
      <x:c r="D6" s="4" t="n">
        <x:f>'INPUT_DIGITAL'!B4</x:f>
        <x:v>0</x:v>
      </x:c>
      <x:c r="E6" s="4" t="n">
        <x:f>'INPUT_DIGITAL'!C4</x:f>
        <x:v>0</x:v>
      </x:c>
      <x:c r="F6" s="4" t="n">
        <x:f>'INPUT_DIGITAL'!D4</x:f>
        <x:v>0</x:v>
      </x:c>
      <x:c r="G6" s="7" t="n">
        <x:f>IFERROR(F6/E6,0)</x:f>
        <x:v>0</x:v>
      </x:c>
    </x:row>
    <x:row r="7">
      <x:c r="A7" s="4" t="str">
        <x:v>Sai thông tin thanh lý</x:v>
      </x:c>
      <x:c r="B7" s="4" t="n">
        <x:f>'INPUT_FCR'!G2</x:f>
        <x:v>0</x:v>
      </x:c>
      <x:c r="C7" s="4"/>
      <x:c r="D7" s="4"/>
      <x:c r="E7" s="4"/>
      <x:c r="F7" s="4"/>
      <x:c r="G7" s="4"/>
    </x:row>
    <x:row r="8">
      <x:c r="A8" s="4" t="str">
        <x:v>Tỷ lệ tuân thủ thanh lý</x:v>
      </x:c>
      <x:c r="B8" s="7" t="n">
        <x:f>IFERROR(1-('INPUT_FCR'!F2+'INPUT_FCR'!G2)/'INPUT_FCR'!E2,0)</x:f>
        <x:v>0</x:v>
      </x:c>
      <x:c r="C8" s="4"/>
      <x:c r="D8" s="4"/>
      <x:c r="E8" s="4"/>
      <x:c r="F8" s="4"/>
      <x:c r="G8" s="4"/>
    </x:row>
    <x:row r="9">
      <x:c r="A9" s="4" t="str">
        <x:v>Tổng case kênh số</x:v>
      </x:c>
      <x:c r="B9" s="4" t="n">
        <x:f>SUM('INPUT_DIGITAL'!C2:C100)</x:f>
        <x:v>0</x:v>
      </x:c>
      <x:c r="C9" s="4"/>
      <x:c r="D9" s="4"/>
      <x:c r="E9" s="4"/>
      <x:c r="F9" s="4"/>
      <x:c r="G9" s="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24a1689c529445e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16" t="str">
        <x:v>Section</x:v>
      </x:c>
      <x:c r="B1" s="4" t="str">
        <x:v>Kênh</x:v>
      </x:c>
      <x:c r="C1" s="4" t="str">
        <x:v>Tổng QA</x:v>
      </x:c>
      <x:c r="D1" s="4" t="str">
        <x:v>Đạt 100</x:v>
      </x:c>
      <x:c r="E1" s="4" t="str">
        <x:v>Có lỗi</x:v>
      </x:c>
      <x:c r="F1" s="4" t="str">
        <x:v>Tỷ lệ lỗi</x:v>
      </x:c>
      <x:c r="G1" s="4" t="str">
        <x:v>Điểm TB</x:v>
      </x:c>
      <x:c r="H1" s="4" t="str">
        <x:v>Điểm thấp nhất</x:v>
      </x:c>
      <x:c r="I1" s="4"/>
      <x:c r="J1" s="4" t="str">
        <x:v>FCR</x:v>
      </x:c>
      <x:c r="K1" s="4" t="str">
        <x:v>FCR callback</x:v>
      </x:c>
      <x:c r="L1" s="4" t="str">
        <x:v>TL giám sát</x:v>
      </x:c>
      <x:c r="M1" s="4" t="str">
        <x:v>TL sai</x:v>
      </x:c>
      <x:c r="N1" s="4" t="str">
        <x:v>Digital QA</x:v>
      </x:c>
      <x:c r="O1" s="4"/>
      <x:c r="P1" s="4" t="str">
        <x:v>Kỳ hiện tại</x:v>
      </x:c>
      <x:c r="Q1" s="4" t="str">
        <x:v>Kỳ liền trước</x:v>
      </x:c>
    </x:row>
    <x:row r="2">
      <x:c r="A2" s="4" t="str">
        <x:v>LOAN</x:v>
      </x:c>
      <x:c r="B2" s="4" t="str">
        <x:v>INBOUND</x:v>
      </x:c>
      <x:c r="C2" s="4" t="n">
        <x:f>'REPORT_LOAN'!B4</x:f>
        <x:v>0</x:v>
      </x:c>
      <x:c r="D2" s="4" t="n">
        <x:f>'REPORT_LOAN'!C4</x:f>
        <x:v>0</x:v>
      </x:c>
      <x:c r="E2" s="4" t="n">
        <x:f>'REPORT_LOAN'!D4</x:f>
        <x:v>0</x:v>
      </x:c>
      <x:c r="F2" s="4" t="n">
        <x:f>'REPORT_LOAN'!E4</x:f>
        <x:v>0</x:v>
      </x:c>
      <x:c r="G2" s="4" t="n">
        <x:f>'REPORT_LOAN'!F4</x:f>
        <x:v>0</x:v>
      </x:c>
      <x:c r="H2" s="4" t="n">
        <x:f>'REPORT_LOAN'!G4</x:f>
        <x:v>0</x:v>
      </x:c>
      <x:c r="I2" s="4"/>
      <x:c r="J2" s="4" t="n">
        <x:f>'REPORT_OTHER'!B5</x:f>
        <x:v>0</x:v>
      </x:c>
      <x:c r="K2" s="4" t="n">
        <x:f>'INPUT_FCR'!D2</x:f>
        <x:v>0</x:v>
      </x:c>
      <x:c r="L2" s="4" t="n">
        <x:f>'INPUT_FCR'!E2</x:f>
        <x:v>0</x:v>
      </x:c>
      <x:c r="M2" s="4" t="n">
        <x:f>'INPUT_FCR'!G2</x:f>
        <x:v>0</x:v>
      </x:c>
      <x:c r="N2" s="4" t="n">
        <x:f>'REPORT_OTHER'!B9</x:f>
        <x:v>0</x:v>
      </x:c>
      <x:c r="O2" s="4"/>
      <x:c r="P2" s="4" t="str">
        <x:f>IFERROR(LOOKUP(2,1/('INPUT_CALLS'!A2:A10000&lt;&gt;""),'INPUT_CALLS'!A2:A10000),"")</x:f>
      </x:c>
      <x:c r="Q2" s="4" t="str">
        <x:f>IFERROR(LOOKUP(2,1/(('INPUT_CALLS'!A2:A10000&lt;&gt;P2)*('INPUT_CALLS'!A2:A10000&lt;&gt;"")),'INPUT_CALLS'!A2:A10000),"")</x:f>
      </x:c>
    </x:row>
    <x:row r="3">
      <x:c r="A3" s="4" t="str">
        <x:v>LOAN</x:v>
      </x:c>
      <x:c r="B3" s="4" t="str">
        <x:v>OUTBOUND</x:v>
      </x:c>
      <x:c r="C3" s="4" t="n">
        <x:f>'REPORT_LOAN'!B5</x:f>
        <x:v>0</x:v>
      </x:c>
      <x:c r="D3" s="4" t="n">
        <x:f>'REPORT_LOAN'!C5</x:f>
        <x:v>0</x:v>
      </x:c>
      <x:c r="E3" s="4" t="n">
        <x:f>'REPORT_LOAN'!D5</x:f>
        <x:v>0</x:v>
      </x:c>
      <x:c r="F3" s="4" t="n">
        <x:f>'REPORT_LOAN'!E5</x:f>
        <x:v>0</x:v>
      </x:c>
      <x:c r="G3" s="4" t="n">
        <x:f>'REPORT_LOAN'!F5</x:f>
        <x:v>0</x:v>
      </x:c>
      <x:c r="H3" s="4" t="n">
        <x:f>'REPORT_LOAN'!G5</x:f>
        <x:v>0</x:v>
      </x:c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4" t="str">
        <x:v>CARD</x:v>
      </x:c>
      <x:c r="B4" s="4" t="str">
        <x:v>INBOUND</x:v>
      </x:c>
      <x:c r="C4" s="4" t="n">
        <x:f>'REPORT_CARD'!B4</x:f>
        <x:v>0</x:v>
      </x:c>
      <x:c r="D4" s="4" t="n">
        <x:f>'REPORT_CARD'!C4</x:f>
        <x:v>0</x:v>
      </x:c>
      <x:c r="E4" s="4" t="n">
        <x:f>'REPORT_CARD'!D4</x:f>
        <x:v>0</x:v>
      </x:c>
      <x:c r="F4" s="4" t="n">
        <x:f>'REPORT_CARD'!E4</x:f>
        <x:v>0</x:v>
      </x:c>
      <x:c r="G4" s="4" t="n">
        <x:f>'REPORT_CARD'!F4</x:f>
        <x:v>0</x:v>
      </x:c>
      <x:c r="H4" s="4" t="n">
        <x:f>'REPORT_CARD'!G4</x:f>
        <x:v>0</x:v>
      </x:c>
      <x:c r="I4" s="4"/>
      <x:c r="J4" s="4"/>
      <x:c r="K4" s="4"/>
      <x:c r="L4" s="4"/>
      <x:c r="M4" s="4"/>
      <x:c r="N4" s="4"/>
      <x:c r="O4" s="4"/>
      <x:c r="P4" s="4"/>
      <x:c r="Q4" s="4"/>
    </x:row>
    <x:row r="5">
      <x:c r="A5" s="4" t="str">
        <x:v>CARD</x:v>
      </x:c>
      <x:c r="B5" s="4" t="str">
        <x:v>OUTBOUND</x:v>
      </x:c>
      <x:c r="C5" s="4" t="n">
        <x:f>'REPORT_CARD'!B5</x:f>
        <x:v>0</x:v>
      </x:c>
      <x:c r="D5" s="4" t="n">
        <x:f>'REPORT_CARD'!C5</x:f>
        <x:v>0</x:v>
      </x:c>
      <x:c r="E5" s="4" t="n">
        <x:f>'REPORT_CARD'!D5</x:f>
        <x:v>0</x:v>
      </x:c>
      <x:c r="F5" s="4" t="n">
        <x:f>'REPORT_CARD'!E5</x:f>
        <x:v>0</x:v>
      </x:c>
      <x:c r="G5" s="4" t="n">
        <x:f>'REPORT_CARD'!F5</x:f>
        <x:v>0</x:v>
      </x:c>
      <x:c r="H5" s="4" t="n">
        <x:f>'REPORT_CARD'!G5</x:f>
        <x:v>0</x:v>
      </x:c>
      <x:c r="I5" s="4"/>
      <x:c r="J5" s="4"/>
      <x:c r="K5" s="4"/>
      <x:c r="L5" s="4"/>
      <x:c r="M5" s="4"/>
      <x:c r="N5" s="4"/>
      <x:c r="O5" s="4"/>
      <x:c r="P5" s="4"/>
      <x:c r="Q5" s="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16" t="str">
        <x:v>Kiểm tra</x:v>
      </x:c>
      <x:c r="B1" s="4" t="str">
        <x:v>Giá trị</x:v>
      </x:c>
      <x:c r="C1" s="4" t="str">
        <x:v>Trạng thái</x:v>
      </x:c>
      <x:c r="D1" s="4" t="str">
        <x:v>Cách xử lý</x:v>
      </x:c>
    </x:row>
    <x:row r="2">
      <x:c r="A2" s="4" t="str">
        <x:v>Có dữ liệu cuộc gọi</x:v>
      </x:c>
      <x:c r="B2" s="4" t="n">
        <x:f>COUNTA('INPUT_CALLS'!A2:A10000)</x:f>
        <x:v>0</x:v>
      </x:c>
      <x:c r="C2" s="4" t="str">
        <x:f>IF(B2&gt;0,"PASS","FAIL")</x:f>
        <x:v>FAIL</x:v>
      </x:c>
      <x:c r="D2" s="4" t="str">
        <x:v>Dán INPUT_CALLS</x:v>
      </x:c>
    </x:row>
    <x:row r="3">
      <x:c r="A3" s="4" t="str">
        <x:v>Đủ LOAN/CARD IN/OUT</x:v>
      </x:c>
      <x:c r="B3" s="4" t="n">
        <x:f>COUNTIF('PPT_DATA'!C2:C5,"&gt;0")</x:f>
        <x:v>0</x:v>
      </x:c>
      <x:c r="C3" s="4" t="str">
        <x:f>IF(B3=4,"PASS","FAIL")</x:f>
        <x:v>FAIL</x:v>
      </x:c>
      <x:c r="D3" s="4" t="str">
        <x:v>Kiểm tra sản phẩm/kênh</x:v>
      </x:c>
    </x:row>
    <x:row r="4">
      <x:c r="A4" s="4" t="str">
        <x:v>Điểm QA 0–100</x:v>
      </x:c>
      <x:c r="B4" s="4" t="n">
        <x:f>COUNTIFS('INPUT_CALLS'!F2:F10000,"&lt;0")+COUNTIFS('INPUT_CALLS'!F2:F10000,"&gt;100")</x:f>
        <x:v>0</x:v>
      </x:c>
      <x:c r="C4" s="4" t="str">
        <x:f>IF(B4=0,"PASS","FAIL")</x:f>
        <x:v>PASS</x:v>
      </x:c>
      <x:c r="D4" s="4" t="str">
        <x:v>Sửa điểm sai</x:v>
      </x:c>
    </x:row>
    <x:row r="5">
      <x:c r="A5" s="4" t="str">
        <x:v>Có dữ liệu FCR</x:v>
      </x:c>
      <x:c r="B5" s="4" t="n">
        <x:f>COUNTA('INPUT_FCR'!A2:A100)</x:f>
        <x:v>0</x:v>
      </x:c>
      <x:c r="C5" s="4" t="str">
        <x:f>IF(B5&gt;0,"PASS","FAIL")</x:f>
        <x:v>FAIL</x:v>
      </x:c>
      <x:c r="D5" s="4" t="str">
        <x:v>Cập nhật INPUT_FCR</x:v>
      </x:c>
    </x:row>
    <x:row r="6">
      <x:c r="A6" s="4" t="str">
        <x:v>Có dữ liệu kênh số</x:v>
      </x:c>
      <x:c r="B6" s="4" t="n">
        <x:f>COUNTA('INPUT_DIGITAL'!A2:A100)</x:f>
        <x:v>0</x:v>
      </x:c>
      <x:c r="C6" s="4" t="str">
        <x:f>IF(B6&gt;0,"PASS","FAIL")</x:f>
        <x:v>FAIL</x:v>
      </x:c>
      <x:c r="D6" s="4" t="str">
        <x:v>Cập nhật INPUT_DIGITAL</x:v>
      </x:c>
    </x:row>
  </x:sheetData>
  <x:pageMargins left="0.7" right="0.7" top="0.75" bottom="0.75" header="0.3" footer="0.3"/>
</x:worksheet>
</file>